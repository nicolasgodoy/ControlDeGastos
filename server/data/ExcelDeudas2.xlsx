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Dy7Kpw4rlePorpLB70GIxKNy2Bl3FUj3g5pl4+6TBjA="/>
    </ext>
  </extLst>
</workbook>
</file>

<file path=xl/sharedStrings.xml><?xml version="1.0" encoding="utf-8"?>
<sst xmlns="http://schemas.openxmlformats.org/spreadsheetml/2006/main" count="79" uniqueCount="27">
  <si>
    <t xml:space="preserve">GALICIA </t>
  </si>
  <si>
    <t>PRESTAMO 1</t>
  </si>
  <si>
    <t>PRESTAMO 2</t>
  </si>
  <si>
    <t>PRESTAMO 3</t>
  </si>
  <si>
    <t>PRESTAMO 4</t>
  </si>
  <si>
    <t>PRESTAMO 5</t>
  </si>
  <si>
    <t>PRESTAMO 6</t>
  </si>
  <si>
    <t>Fecha</t>
  </si>
  <si>
    <t>Cuotas</t>
  </si>
  <si>
    <t>UALA</t>
  </si>
  <si>
    <t>PRESTAMO 1 - 500.000</t>
  </si>
  <si>
    <t>PRESTAMO 2   -   500.000</t>
  </si>
  <si>
    <t>PRESTAMO 3   -  500.000</t>
  </si>
  <si>
    <t>PRESTAMO 4  -  500.000</t>
  </si>
  <si>
    <t>PRESTAMO 5  -  500.000</t>
  </si>
  <si>
    <t>MERCADO PAGO</t>
  </si>
  <si>
    <t>ICBC</t>
  </si>
  <si>
    <t>TARJETA</t>
  </si>
  <si>
    <t>TARJETA(Adelante Efectivo no prestamos)</t>
  </si>
  <si>
    <t>20,228,87</t>
  </si>
  <si>
    <t>20,228,88</t>
  </si>
  <si>
    <t>20,228,89</t>
  </si>
  <si>
    <t>20,228,90</t>
  </si>
  <si>
    <t>20,228,91</t>
  </si>
  <si>
    <t>20,228,92</t>
  </si>
  <si>
    <t>20,228,93</t>
  </si>
  <si>
    <t>20,228,94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</si>
</sst>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M/yyyy"/>
  </numFmts>
  <fonts count="14">
    <font>
      <sz val="10.0"/>
      <color rgb="FF000000"/>
      <name val="Arial"/>
      <scheme val="minor"/>
    </font>
    <font>
      <b/>
      <sz val="19.0"/>
      <color rgb="FFFFFFFF"/>
      <name val="Impact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rgb="FFFF9900"/>
      <name val="Arial"/>
      <scheme val="minor"/>
    </font>
    <font>
      <color rgb="FFFFFFFF"/>
      <name val="Arial"/>
    </font>
    <font>
      <b/>
      <color rgb="FF000000"/>
      <name val="Arial"/>
    </font>
    <font>
      <b/>
      <sz val="11.0"/>
      <color theme="1"/>
      <name val="Arial"/>
      <scheme val="minor"/>
    </font>
    <font>
      <color rgb="FFFFFFFF"/>
      <name val="Arial"/>
      <scheme val="minor"/>
    </font>
    <font>
      <b/>
      <color rgb="FFEFEFEF"/>
      <name val="Arial"/>
    </font>
    <font>
      <b/>
      <color theme="1"/>
      <name val="Arial"/>
    </font>
    <font>
      <sz val="11.0"/>
      <color rgb="FF000000"/>
      <name val="InterSemiBold"/>
    </font>
    <font>
      <color rgb="FF6A6A6A"/>
      <name val="Interregula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434343"/>
        <bgColor rgb="FF434343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4" fontId="3" numFmtId="0" xfId="0" applyAlignment="1" applyFill="1" applyFont="1">
      <alignment readingOrder="0"/>
    </xf>
    <xf borderId="0" fillId="5" fontId="3" numFmtId="16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horizontal="center" readingOrder="0"/>
    </xf>
    <xf borderId="0" fillId="5" fontId="4" numFmtId="0" xfId="0" applyFont="1"/>
    <xf borderId="0" fillId="6" fontId="5" numFmtId="0" xfId="0" applyFont="1"/>
    <xf borderId="0" fillId="6" fontId="6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readingOrder="0"/>
    </xf>
    <xf borderId="0" fillId="0" fontId="4" numFmtId="4" xfId="0" applyFont="1" applyNumberFormat="1"/>
    <xf borderId="0" fillId="5" fontId="3" numFmtId="0" xfId="0" applyAlignment="1" applyFont="1">
      <alignment readingOrder="0"/>
    </xf>
    <xf borderId="0" fillId="7" fontId="1" numFmtId="0" xfId="0" applyAlignment="1" applyFill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7" fontId="3" numFmtId="0" xfId="0" applyAlignment="1" applyFont="1">
      <alignment readingOrder="0"/>
    </xf>
    <xf borderId="0" fillId="7" fontId="3" numFmtId="164" xfId="0" applyAlignment="1" applyFont="1" applyNumberFormat="1">
      <alignment readingOrder="0"/>
    </xf>
    <xf borderId="0" fillId="7" fontId="3" numFmtId="4" xfId="0" applyAlignment="1" applyFont="1" applyNumberFormat="1">
      <alignment horizontal="center" readingOrder="0"/>
    </xf>
    <xf borderId="0" fillId="7" fontId="7" numFmtId="165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7" fontId="9" numFmtId="3" xfId="0" applyAlignment="1" applyFont="1" applyNumberFormat="1">
      <alignment readingOrder="0"/>
    </xf>
    <xf borderId="0" fillId="7" fontId="3" numFmtId="0" xfId="0" applyAlignment="1" applyFont="1">
      <alignment horizontal="right" vertical="bottom"/>
    </xf>
    <xf borderId="0" fillId="0" fontId="4" numFmtId="0" xfId="0" applyFont="1"/>
    <xf borderId="0" fillId="5" fontId="10" numFmtId="0" xfId="0" applyAlignment="1" applyFont="1">
      <alignment horizontal="center" readingOrder="0"/>
    </xf>
    <xf borderId="0" fillId="5" fontId="11" numFmtId="0" xfId="0" applyFont="1"/>
    <xf borderId="0" fillId="5" fontId="12" numFmtId="0" xfId="0" applyAlignment="1" applyFont="1">
      <alignment horizontal="left" readingOrder="0"/>
    </xf>
    <xf borderId="0" fillId="7" fontId="7" numFmtId="4" xfId="0" applyAlignment="1" applyFont="1" applyNumberFormat="1">
      <alignment readingOrder="0"/>
    </xf>
    <xf borderId="0" fillId="5" fontId="3" numFmtId="4" xfId="0" applyAlignment="1" applyFont="1" applyNumberFormat="1">
      <alignment horizontal="center" readingOrder="0"/>
    </xf>
    <xf borderId="0" fillId="8" fontId="3" numFmtId="4" xfId="0" applyAlignment="1" applyFill="1" applyFont="1" applyNumberFormat="1">
      <alignment horizontal="center" readingOrder="0"/>
    </xf>
    <xf borderId="0" fillId="7" fontId="13" numFmtId="0" xfId="0" applyFont="1"/>
    <xf borderId="0" fillId="9" fontId="3" numFmtId="4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5"/>
    <col customWidth="1" min="6" max="6" width="25.63"/>
    <col customWidth="1" min="8" max="8" width="19.25"/>
    <col customWidth="1" min="9" max="9" width="17.5"/>
    <col customWidth="1" min="10" max="10" width="25.88"/>
    <col customWidth="1" min="12" max="12" width="23.13"/>
    <col customWidth="1" min="14" max="14" width="27.25"/>
    <col customWidth="1" min="18" max="18" width="17.5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C3" s="3" t="s">
        <v>2</v>
      </c>
      <c r="E3" s="2" t="s">
        <v>3</v>
      </c>
      <c r="G3" s="2" t="s">
        <v>4</v>
      </c>
      <c r="I3" s="2" t="s">
        <v>5</v>
      </c>
      <c r="K3" s="2" t="s">
        <v>6</v>
      </c>
    </row>
    <row r="4" ht="15.75" customHeight="1">
      <c r="A4" s="4" t="s">
        <v>7</v>
      </c>
      <c r="B4" s="4" t="s">
        <v>8</v>
      </c>
      <c r="C4" s="4" t="s">
        <v>7</v>
      </c>
      <c r="D4" s="4" t="s">
        <v>8</v>
      </c>
      <c r="E4" s="4" t="s">
        <v>7</v>
      </c>
      <c r="F4" s="4" t="s">
        <v>8</v>
      </c>
      <c r="G4" s="4" t="s">
        <v>7</v>
      </c>
      <c r="H4" s="4" t="s">
        <v>8</v>
      </c>
      <c r="I4" s="4" t="s">
        <v>7</v>
      </c>
      <c r="J4" s="4" t="s">
        <v>8</v>
      </c>
      <c r="K4" s="4" t="s">
        <v>7</v>
      </c>
      <c r="L4" s="4" t="s">
        <v>8</v>
      </c>
    </row>
    <row r="5" ht="15.75" customHeight="1">
      <c r="A5" s="5">
        <v>45910.0</v>
      </c>
      <c r="B5" s="6">
        <v>75017.65</v>
      </c>
      <c r="C5" s="5">
        <v>45910.0</v>
      </c>
      <c r="D5" s="6">
        <v>71593.93</v>
      </c>
      <c r="E5" s="5">
        <v>45910.0</v>
      </c>
      <c r="F5" s="6">
        <v>70744.65</v>
      </c>
      <c r="G5" s="5">
        <v>45912.0</v>
      </c>
      <c r="H5" s="6">
        <v>59912.56</v>
      </c>
      <c r="I5" s="5">
        <v>45915.0</v>
      </c>
      <c r="J5" s="6">
        <v>59912.56</v>
      </c>
      <c r="K5" s="7"/>
      <c r="L5" s="8"/>
    </row>
    <row r="6" ht="15.75" customHeight="1">
      <c r="A6" s="5">
        <v>45943.0</v>
      </c>
      <c r="B6" s="6">
        <v>82244.23</v>
      </c>
      <c r="C6" s="5">
        <v>45943.0</v>
      </c>
      <c r="D6" s="6">
        <v>81833.57</v>
      </c>
      <c r="E6" s="5">
        <v>45943.0</v>
      </c>
      <c r="F6" s="6">
        <v>81729.09</v>
      </c>
      <c r="G6" s="5">
        <v>45943.0</v>
      </c>
      <c r="H6" s="6">
        <v>69963.33</v>
      </c>
      <c r="I6" s="5">
        <v>45945.0</v>
      </c>
      <c r="J6" s="9">
        <v>69963.33</v>
      </c>
      <c r="K6" s="5">
        <v>45943.0</v>
      </c>
      <c r="L6" s="9">
        <v>78715.6</v>
      </c>
      <c r="M6" s="10">
        <f>SUM(L6,J6,H6,F6,D6,B6)-SUM(L6,J6,H6,F6,D6,B6)</f>
        <v>0</v>
      </c>
    </row>
    <row r="7" ht="15.75" customHeight="1">
      <c r="A7" s="5">
        <v>45971.0</v>
      </c>
      <c r="B7" s="6">
        <v>81312.23</v>
      </c>
      <c r="C7" s="5">
        <v>45971.0</v>
      </c>
      <c r="D7" s="6">
        <v>80906.57</v>
      </c>
      <c r="E7" s="5">
        <v>45971.0</v>
      </c>
      <c r="F7" s="6">
        <v>80803.27</v>
      </c>
      <c r="G7" s="5">
        <v>45973.0</v>
      </c>
      <c r="H7" s="6">
        <v>69170.79</v>
      </c>
      <c r="I7" s="5">
        <v>45978.0</v>
      </c>
      <c r="J7" s="6">
        <v>69170.79</v>
      </c>
      <c r="K7" s="5">
        <v>45971.0</v>
      </c>
      <c r="L7" s="6">
        <v>72036.5</v>
      </c>
      <c r="M7" s="11">
        <f t="shared" ref="M7:M11" si="1">SUM(L7,J7,H7,F7,D7,B7) - SUM(L7,J7,H7,F7,D7,B7)</f>
        <v>0</v>
      </c>
    </row>
    <row r="8" ht="15.75" customHeight="1">
      <c r="A8" s="5">
        <v>46001.0</v>
      </c>
      <c r="B8" s="6">
        <v>80298.62</v>
      </c>
      <c r="C8" s="5">
        <v>46001.0</v>
      </c>
      <c r="D8" s="6">
        <v>79897.68</v>
      </c>
      <c r="E8" s="5">
        <v>46001.0</v>
      </c>
      <c r="F8" s="6">
        <v>79795.67</v>
      </c>
      <c r="G8" s="5">
        <v>46003.0</v>
      </c>
      <c r="H8" s="6">
        <v>68308.24</v>
      </c>
      <c r="I8" s="5">
        <v>46006.0</v>
      </c>
      <c r="J8" s="6">
        <v>68308.24</v>
      </c>
      <c r="K8" s="5">
        <v>46001.0</v>
      </c>
      <c r="L8" s="6">
        <v>71220.47</v>
      </c>
      <c r="M8" s="11">
        <f t="shared" si="1"/>
        <v>0</v>
      </c>
    </row>
    <row r="9" ht="15.75" customHeight="1">
      <c r="A9" s="5">
        <v>46034.0</v>
      </c>
      <c r="B9" s="6">
        <v>79195.1</v>
      </c>
      <c r="C9" s="5">
        <v>46034.0</v>
      </c>
      <c r="D9" s="6">
        <v>78799.68</v>
      </c>
      <c r="E9" s="5">
        <v>46034.0</v>
      </c>
      <c r="F9" s="6">
        <v>78699.06</v>
      </c>
      <c r="G9" s="5">
        <v>46034.0</v>
      </c>
      <c r="H9" s="6">
        <v>67369.5</v>
      </c>
      <c r="I9" s="5">
        <v>46034.0</v>
      </c>
      <c r="J9" s="6">
        <v>67369.5</v>
      </c>
      <c r="K9" s="5">
        <v>46034.0</v>
      </c>
      <c r="L9" s="6">
        <v>70332.37</v>
      </c>
      <c r="M9" s="11">
        <f t="shared" si="1"/>
        <v>0</v>
      </c>
    </row>
    <row r="10" ht="15.75" customHeight="1">
      <c r="A10" s="5">
        <v>46063.0</v>
      </c>
      <c r="B10" s="6">
        <v>77994.08</v>
      </c>
      <c r="C10" s="5">
        <v>46063.0</v>
      </c>
      <c r="D10" s="6">
        <v>77604.65</v>
      </c>
      <c r="E10" s="5">
        <v>46063.0</v>
      </c>
      <c r="F10" s="6">
        <v>77505.58</v>
      </c>
      <c r="G10" s="5">
        <v>46063.0</v>
      </c>
      <c r="H10" s="6">
        <v>66347.82</v>
      </c>
      <c r="I10" s="5">
        <v>46063.0</v>
      </c>
      <c r="J10" s="6">
        <v>66347.82</v>
      </c>
      <c r="K10" s="5">
        <v>46063.0</v>
      </c>
      <c r="L10" s="6">
        <v>69365.81</v>
      </c>
      <c r="M10" s="11">
        <f t="shared" si="1"/>
        <v>0</v>
      </c>
    </row>
    <row r="11" ht="15.75" customHeight="1">
      <c r="A11" s="7"/>
      <c r="B11" s="7"/>
      <c r="C11" s="7"/>
      <c r="D11" s="7"/>
      <c r="E11" s="12"/>
      <c r="F11" s="12"/>
      <c r="G11" s="7"/>
      <c r="H11" s="7"/>
      <c r="I11" s="7"/>
      <c r="J11" s="7"/>
      <c r="K11" s="5">
        <v>46091.0</v>
      </c>
      <c r="L11" s="6">
        <v>77994.08</v>
      </c>
      <c r="M11" s="11">
        <f t="shared" si="1"/>
        <v>0</v>
      </c>
    </row>
    <row r="12" ht="15.75" customHeight="1">
      <c r="K12" s="13"/>
      <c r="L12" s="13"/>
    </row>
    <row r="13" ht="15.75" customHeight="1">
      <c r="K13" s="13"/>
      <c r="L13" s="13"/>
    </row>
    <row r="14" ht="15.75" customHeight="1">
      <c r="K14" s="14"/>
    </row>
    <row r="15" ht="15.75" customHeight="1">
      <c r="A15" s="1" t="s">
        <v>9</v>
      </c>
      <c r="K15" s="15"/>
      <c r="L15" s="15"/>
    </row>
    <row r="16" ht="15.75" customHeight="1">
      <c r="K16" s="16"/>
      <c r="L16" s="17"/>
    </row>
    <row r="17" ht="15.75" customHeight="1">
      <c r="A17" s="2" t="s">
        <v>10</v>
      </c>
      <c r="C17" s="3" t="s">
        <v>11</v>
      </c>
      <c r="E17" s="2" t="s">
        <v>12</v>
      </c>
      <c r="K17" s="16"/>
      <c r="L17" s="18">
        <v>45931.0</v>
      </c>
      <c r="M17" s="11">
        <f t="shared" ref="M17:M22" si="2">SUM(M6,G25,E41,I53,O77)</f>
        <v>0</v>
      </c>
      <c r="N17" s="19"/>
    </row>
    <row r="18" ht="15.75" customHeight="1">
      <c r="A18" s="4" t="s">
        <v>7</v>
      </c>
      <c r="B18" s="4" t="s">
        <v>8</v>
      </c>
      <c r="C18" s="4" t="s">
        <v>7</v>
      </c>
      <c r="D18" s="4" t="s">
        <v>8</v>
      </c>
      <c r="E18" s="4" t="s">
        <v>7</v>
      </c>
      <c r="F18" s="4" t="s">
        <v>8</v>
      </c>
      <c r="K18" s="16"/>
      <c r="L18" s="18">
        <v>45962.0</v>
      </c>
      <c r="M18" s="11">
        <f t="shared" si="2"/>
        <v>0</v>
      </c>
      <c r="N18" s="20"/>
      <c r="Q18" s="10"/>
      <c r="R18" s="10"/>
    </row>
    <row r="19" ht="15.75" customHeight="1">
      <c r="A19" s="5">
        <v>45754.0</v>
      </c>
      <c r="B19" s="6">
        <v>65962.75</v>
      </c>
      <c r="C19" s="5">
        <v>45754.0</v>
      </c>
      <c r="D19" s="6">
        <v>67876.68</v>
      </c>
      <c r="E19" s="5">
        <v>45754.0</v>
      </c>
      <c r="F19" s="6">
        <v>71439.65</v>
      </c>
      <c r="K19" s="16"/>
      <c r="L19" s="18">
        <v>45992.0</v>
      </c>
      <c r="M19" s="11">
        <f t="shared" si="2"/>
        <v>0</v>
      </c>
      <c r="Q19" s="10"/>
      <c r="R19" s="10"/>
    </row>
    <row r="20" ht="15.75" customHeight="1">
      <c r="A20" s="5">
        <v>45782.0</v>
      </c>
      <c r="B20" s="6">
        <v>65962.75</v>
      </c>
      <c r="C20" s="5">
        <v>45782.0</v>
      </c>
      <c r="D20" s="6">
        <v>67876.68</v>
      </c>
      <c r="E20" s="5">
        <v>45782.0</v>
      </c>
      <c r="F20" s="6">
        <v>71439.65</v>
      </c>
      <c r="K20" s="16"/>
      <c r="L20" s="18">
        <v>46023.0</v>
      </c>
      <c r="M20" s="11">
        <f t="shared" si="2"/>
        <v>0</v>
      </c>
      <c r="Q20" s="10"/>
      <c r="R20" s="10"/>
    </row>
    <row r="21" ht="15.75" customHeight="1">
      <c r="A21" s="5">
        <v>45813.0</v>
      </c>
      <c r="B21" s="6">
        <v>65962.75</v>
      </c>
      <c r="C21" s="5">
        <v>45813.0</v>
      </c>
      <c r="D21" s="6">
        <v>67876.68</v>
      </c>
      <c r="E21" s="5">
        <v>45813.0</v>
      </c>
      <c r="F21" s="6">
        <v>71439.65</v>
      </c>
      <c r="K21" s="16"/>
      <c r="L21" s="18">
        <v>46054.0</v>
      </c>
      <c r="M21" s="11">
        <f t="shared" si="2"/>
        <v>0</v>
      </c>
      <c r="Q21" s="10"/>
      <c r="R21" s="10"/>
    </row>
    <row r="22" ht="15.75" customHeight="1">
      <c r="A22" s="5">
        <v>45845.0</v>
      </c>
      <c r="B22" s="6">
        <v>65962.75</v>
      </c>
      <c r="C22" s="5">
        <v>45845.0</v>
      </c>
      <c r="D22" s="6">
        <v>67876.68</v>
      </c>
      <c r="E22" s="5">
        <v>45845.0</v>
      </c>
      <c r="F22" s="6">
        <v>71439.65</v>
      </c>
      <c r="L22" s="18">
        <v>46082.0</v>
      </c>
      <c r="M22" s="11">
        <f t="shared" si="2"/>
        <v>0</v>
      </c>
      <c r="R22" s="10"/>
    </row>
    <row r="23" ht="15.75" customHeight="1">
      <c r="A23" s="5">
        <v>45874.0</v>
      </c>
      <c r="B23" s="6">
        <v>65962.75</v>
      </c>
      <c r="C23" s="5">
        <v>45874.0</v>
      </c>
      <c r="D23" s="6">
        <v>67876.68</v>
      </c>
      <c r="E23" s="5">
        <v>45874.0</v>
      </c>
      <c r="F23" s="6">
        <v>71439.65</v>
      </c>
      <c r="L23" s="18">
        <v>46113.0</v>
      </c>
      <c r="M23" s="11">
        <f t="shared" ref="M23:M28" si="3">SUM(I59,O83)</f>
        <v>328290.2</v>
      </c>
    </row>
    <row r="24" ht="15.75" customHeight="1">
      <c r="A24" s="5">
        <v>45905.0</v>
      </c>
      <c r="B24" s="6">
        <v>65962.75</v>
      </c>
      <c r="C24" s="5">
        <v>45905.0</v>
      </c>
      <c r="D24" s="6">
        <v>67876.68</v>
      </c>
      <c r="E24" s="5">
        <v>45905.0</v>
      </c>
      <c r="F24" s="6">
        <v>71439.65</v>
      </c>
      <c r="L24" s="18">
        <v>46143.0</v>
      </c>
      <c r="M24" s="11">
        <f t="shared" si="3"/>
        <v>328290.2</v>
      </c>
    </row>
    <row r="25" ht="15.75" customHeight="1">
      <c r="A25" s="5">
        <v>45936.0</v>
      </c>
      <c r="B25" s="6">
        <v>65962.75</v>
      </c>
      <c r="C25" s="5">
        <v>45936.0</v>
      </c>
      <c r="D25" s="6">
        <v>67876.68</v>
      </c>
      <c r="E25" s="5">
        <v>45936.0</v>
      </c>
      <c r="F25" s="6">
        <v>71439.65</v>
      </c>
      <c r="G25" s="11">
        <f>SUM(F25,D25,B25) -SUM(F25,D25,B25)</f>
        <v>0</v>
      </c>
      <c r="L25" s="18">
        <v>46174.0</v>
      </c>
      <c r="M25" s="11">
        <f t="shared" si="3"/>
        <v>328290.2</v>
      </c>
      <c r="N25" s="21"/>
      <c r="O25" s="21"/>
    </row>
    <row r="26" ht="15.75" customHeight="1">
      <c r="A26" s="5">
        <v>45966.0</v>
      </c>
      <c r="B26" s="6">
        <v>65962.75</v>
      </c>
      <c r="C26" s="5">
        <v>45966.0</v>
      </c>
      <c r="D26" s="6">
        <v>67876.68</v>
      </c>
      <c r="E26" s="5">
        <v>45966.0</v>
      </c>
      <c r="F26" s="6">
        <v>71439.65</v>
      </c>
      <c r="G26" s="11">
        <f t="shared" ref="G26:G30" si="4">SUM(F26,D26,B26) - SUM(F26,D26,B26)</f>
        <v>0</v>
      </c>
      <c r="L26" s="18">
        <v>46204.0</v>
      </c>
      <c r="M26" s="11">
        <f t="shared" si="3"/>
        <v>328290.2</v>
      </c>
      <c r="N26" s="21"/>
      <c r="O26" s="21"/>
    </row>
    <row r="27" ht="15.75" customHeight="1">
      <c r="A27" s="5">
        <v>45996.0</v>
      </c>
      <c r="B27" s="6">
        <v>65962.75</v>
      </c>
      <c r="C27" s="5">
        <v>45996.0</v>
      </c>
      <c r="D27" s="6">
        <v>67876.68</v>
      </c>
      <c r="E27" s="5">
        <v>45996.0</v>
      </c>
      <c r="F27" s="6">
        <v>71439.65</v>
      </c>
      <c r="G27" s="11">
        <f t="shared" si="4"/>
        <v>0</v>
      </c>
      <c r="L27" s="18">
        <v>46235.0</v>
      </c>
      <c r="M27" s="11">
        <f t="shared" si="3"/>
        <v>328290.2</v>
      </c>
      <c r="N27" s="21"/>
      <c r="O27" s="21"/>
    </row>
    <row r="28" ht="15.75" customHeight="1">
      <c r="A28" s="5">
        <v>46027.0</v>
      </c>
      <c r="B28" s="6">
        <v>65962.75</v>
      </c>
      <c r="C28" s="5">
        <v>46027.0</v>
      </c>
      <c r="D28" s="6">
        <v>67876.68</v>
      </c>
      <c r="E28" s="5">
        <v>46027.0</v>
      </c>
      <c r="F28" s="6">
        <v>71439.65</v>
      </c>
      <c r="G28" s="11">
        <f t="shared" si="4"/>
        <v>0</v>
      </c>
      <c r="L28" s="18">
        <v>46266.0</v>
      </c>
      <c r="M28" s="11">
        <f t="shared" si="3"/>
        <v>328290.2</v>
      </c>
      <c r="N28" s="21"/>
      <c r="O28" s="21"/>
    </row>
    <row r="29" ht="15.75" customHeight="1">
      <c r="A29" s="5">
        <v>46058.0</v>
      </c>
      <c r="B29" s="6">
        <v>65962.75</v>
      </c>
      <c r="C29" s="5">
        <v>46058.0</v>
      </c>
      <c r="D29" s="6">
        <v>67876.68</v>
      </c>
      <c r="E29" s="5">
        <v>46058.0</v>
      </c>
      <c r="F29" s="6">
        <v>71439.65</v>
      </c>
      <c r="G29" s="11">
        <f t="shared" si="4"/>
        <v>0</v>
      </c>
      <c r="L29" s="18">
        <v>46296.0</v>
      </c>
      <c r="M29" s="22">
        <f t="shared" ref="M29:M43" si="5">SUM(O89)</f>
        <v>114460.76</v>
      </c>
      <c r="N29" s="21"/>
      <c r="O29" s="21"/>
    </row>
    <row r="30" ht="15.75" customHeight="1">
      <c r="A30" s="5">
        <v>46086.0</v>
      </c>
      <c r="B30" s="6">
        <v>65962.75</v>
      </c>
      <c r="C30" s="5">
        <v>46086.0</v>
      </c>
      <c r="D30" s="6">
        <v>67876.68</v>
      </c>
      <c r="E30" s="5">
        <v>46086.0</v>
      </c>
      <c r="F30" s="6">
        <v>71439.65</v>
      </c>
      <c r="G30" s="11">
        <f t="shared" si="4"/>
        <v>0</v>
      </c>
      <c r="L30" s="18">
        <v>46327.0</v>
      </c>
      <c r="M30" s="22">
        <f t="shared" si="5"/>
        <v>113460.69</v>
      </c>
      <c r="N30" s="21"/>
      <c r="O30" s="21"/>
    </row>
    <row r="31" ht="15.75" customHeight="1">
      <c r="A31" s="23"/>
      <c r="B31" s="7"/>
      <c r="C31" s="24"/>
      <c r="D31" s="24"/>
      <c r="E31" s="25"/>
      <c r="F31" s="24"/>
      <c r="L31" s="18">
        <v>46357.0</v>
      </c>
      <c r="M31" s="22">
        <f t="shared" si="5"/>
        <v>112460.59</v>
      </c>
    </row>
    <row r="32" ht="15.75" customHeight="1">
      <c r="A32" s="2" t="s">
        <v>13</v>
      </c>
      <c r="C32" s="2" t="s">
        <v>14</v>
      </c>
      <c r="L32" s="18">
        <v>46388.0</v>
      </c>
      <c r="M32" s="22">
        <f t="shared" si="5"/>
        <v>112460.59</v>
      </c>
    </row>
    <row r="33" ht="15.75" customHeight="1">
      <c r="A33" s="4" t="s">
        <v>7</v>
      </c>
      <c r="B33" s="4" t="s">
        <v>8</v>
      </c>
      <c r="C33" s="4" t="s">
        <v>7</v>
      </c>
      <c r="D33" s="4" t="s">
        <v>8</v>
      </c>
      <c r="L33" s="18">
        <v>46419.0</v>
      </c>
      <c r="M33" s="22">
        <f t="shared" si="5"/>
        <v>112460.59</v>
      </c>
    </row>
    <row r="34" ht="15.75" customHeight="1">
      <c r="A34" s="5">
        <v>45723.0</v>
      </c>
      <c r="B34" s="6">
        <v>72684.23</v>
      </c>
      <c r="C34" s="5">
        <v>45723.0</v>
      </c>
      <c r="D34" s="6">
        <v>72891.23</v>
      </c>
      <c r="L34" s="18">
        <v>46447.0</v>
      </c>
      <c r="M34" s="22">
        <f t="shared" si="5"/>
        <v>112460.59</v>
      </c>
    </row>
    <row r="35" ht="15.75" customHeight="1">
      <c r="A35" s="5">
        <v>45752.0</v>
      </c>
      <c r="B35" s="6">
        <v>72684.23</v>
      </c>
      <c r="C35" s="5">
        <v>45752.0</v>
      </c>
      <c r="D35" s="6">
        <v>72891.23</v>
      </c>
      <c r="L35" s="18">
        <v>46478.0</v>
      </c>
      <c r="M35" s="22">
        <f t="shared" si="5"/>
        <v>112460.59</v>
      </c>
    </row>
    <row r="36" ht="15.75" customHeight="1">
      <c r="A36" s="5">
        <v>45782.0</v>
      </c>
      <c r="B36" s="6">
        <v>72684.23</v>
      </c>
      <c r="C36" s="5">
        <v>45782.0</v>
      </c>
      <c r="D36" s="6">
        <v>72891.23</v>
      </c>
      <c r="L36" s="18">
        <v>46508.0</v>
      </c>
      <c r="M36" s="22">
        <f t="shared" si="5"/>
        <v>78760</v>
      </c>
    </row>
    <row r="37" ht="15.75" customHeight="1">
      <c r="A37" s="5">
        <v>45815.0</v>
      </c>
      <c r="B37" s="6">
        <v>72684.23</v>
      </c>
      <c r="C37" s="5">
        <v>45815.0</v>
      </c>
      <c r="D37" s="6">
        <v>72891.23</v>
      </c>
      <c r="L37" s="18">
        <v>46539.0</v>
      </c>
      <c r="M37" s="22">
        <f t="shared" si="5"/>
        <v>78760</v>
      </c>
    </row>
    <row r="38" ht="15.75" customHeight="1">
      <c r="A38" s="5">
        <v>45843.0</v>
      </c>
      <c r="B38" s="6">
        <v>72684.23</v>
      </c>
      <c r="C38" s="5">
        <v>45843.0</v>
      </c>
      <c r="D38" s="6">
        <v>72891.23</v>
      </c>
      <c r="L38" s="18">
        <v>46569.0</v>
      </c>
      <c r="M38" s="22">
        <f t="shared" si="5"/>
        <v>78760</v>
      </c>
    </row>
    <row r="39" ht="15.75" customHeight="1">
      <c r="A39" s="5">
        <v>45874.0</v>
      </c>
      <c r="B39" s="6">
        <v>72684.23</v>
      </c>
      <c r="C39" s="5">
        <v>45874.0</v>
      </c>
      <c r="D39" s="6">
        <v>72891.23</v>
      </c>
      <c r="L39" s="18">
        <v>46600.0</v>
      </c>
      <c r="M39" s="22">
        <f t="shared" si="5"/>
        <v>78760</v>
      </c>
    </row>
    <row r="40" ht="15.75" customHeight="1">
      <c r="A40" s="5">
        <v>45906.0</v>
      </c>
      <c r="B40" s="6">
        <v>72684.23</v>
      </c>
      <c r="C40" s="5">
        <v>45906.0</v>
      </c>
      <c r="D40" s="6">
        <v>72891.23</v>
      </c>
      <c r="L40" s="18">
        <v>46631.0</v>
      </c>
      <c r="M40" s="22">
        <f t="shared" si="5"/>
        <v>78760</v>
      </c>
    </row>
    <row r="41" ht="15.75" customHeight="1">
      <c r="A41" s="5">
        <v>45935.0</v>
      </c>
      <c r="B41" s="6">
        <v>72684.23</v>
      </c>
      <c r="C41" s="5">
        <v>45935.0</v>
      </c>
      <c r="D41" s="6">
        <v>72891.23</v>
      </c>
      <c r="E41" s="11">
        <f t="shared" ref="E41:E45" si="6">SUM(D41,B41) - SUM(D41,B41)</f>
        <v>0</v>
      </c>
      <c r="L41" s="18">
        <v>46661.0</v>
      </c>
      <c r="M41" s="22">
        <f t="shared" si="5"/>
        <v>78760</v>
      </c>
    </row>
    <row r="42" ht="15.75" customHeight="1">
      <c r="A42" s="5">
        <v>45966.0</v>
      </c>
      <c r="B42" s="6">
        <v>72684.23</v>
      </c>
      <c r="C42" s="5">
        <v>45966.0</v>
      </c>
      <c r="D42" s="6">
        <v>72891.23</v>
      </c>
      <c r="E42" s="11">
        <f t="shared" si="6"/>
        <v>0</v>
      </c>
      <c r="L42" s="18">
        <v>46692.0</v>
      </c>
      <c r="M42" s="22">
        <f t="shared" si="5"/>
        <v>78760</v>
      </c>
    </row>
    <row r="43" ht="15.75" customHeight="1">
      <c r="A43" s="5">
        <v>46361.0</v>
      </c>
      <c r="B43" s="6">
        <v>72684.23</v>
      </c>
      <c r="C43" s="5">
        <v>46361.0</v>
      </c>
      <c r="D43" s="6">
        <v>72891.23</v>
      </c>
      <c r="E43" s="11">
        <f t="shared" si="6"/>
        <v>0</v>
      </c>
      <c r="L43" s="18">
        <v>46722.0</v>
      </c>
      <c r="M43" s="22">
        <f t="shared" si="5"/>
        <v>78760</v>
      </c>
    </row>
    <row r="44" ht="15.75" customHeight="1">
      <c r="A44" s="5">
        <v>46027.0</v>
      </c>
      <c r="B44" s="6">
        <v>72684.23</v>
      </c>
      <c r="C44" s="5">
        <v>46027.0</v>
      </c>
      <c r="D44" s="6">
        <v>72891.23</v>
      </c>
      <c r="E44" s="11">
        <f t="shared" si="6"/>
        <v>0</v>
      </c>
    </row>
    <row r="45" ht="15.75" customHeight="1">
      <c r="A45" s="5">
        <v>46058.0</v>
      </c>
      <c r="B45" s="6">
        <v>72684.23</v>
      </c>
      <c r="C45" s="5">
        <v>46058.0</v>
      </c>
      <c r="D45" s="6">
        <v>72891.23</v>
      </c>
      <c r="E45" s="11">
        <f t="shared" si="6"/>
        <v>0</v>
      </c>
    </row>
    <row r="46" ht="15.75" customHeight="1"/>
    <row r="47" ht="15.75" customHeight="1"/>
    <row r="48" ht="15.75" customHeight="1">
      <c r="A48" s="1" t="s">
        <v>15</v>
      </c>
      <c r="I48" s="13"/>
      <c r="J48" s="13"/>
    </row>
    <row r="49" ht="15.75" customHeight="1">
      <c r="I49" s="13"/>
      <c r="J49" s="13"/>
    </row>
    <row r="50" ht="15.75" customHeight="1">
      <c r="A50" s="2" t="s">
        <v>1</v>
      </c>
      <c r="C50" s="3" t="s">
        <v>2</v>
      </c>
      <c r="E50" s="2" t="s">
        <v>3</v>
      </c>
      <c r="G50" s="2" t="s">
        <v>4</v>
      </c>
      <c r="I50" s="14"/>
    </row>
    <row r="51" ht="15.75" customHeight="1">
      <c r="A51" s="4" t="s">
        <v>7</v>
      </c>
      <c r="B51" s="4" t="s">
        <v>8</v>
      </c>
      <c r="C51" s="4" t="s">
        <v>7</v>
      </c>
      <c r="D51" s="4" t="s">
        <v>8</v>
      </c>
      <c r="E51" s="4" t="s">
        <v>7</v>
      </c>
      <c r="F51" s="4" t="s">
        <v>8</v>
      </c>
      <c r="G51" s="4" t="s">
        <v>7</v>
      </c>
      <c r="H51" s="4" t="s">
        <v>8</v>
      </c>
      <c r="I51" s="15"/>
      <c r="J51" s="15"/>
    </row>
    <row r="52" ht="15.75" customHeight="1">
      <c r="A52" s="5">
        <v>45902.0</v>
      </c>
      <c r="B52" s="6">
        <v>39493.0</v>
      </c>
      <c r="C52" s="7"/>
      <c r="D52" s="7"/>
      <c r="E52" s="7"/>
      <c r="F52" s="7"/>
      <c r="G52" s="7"/>
      <c r="H52" s="7"/>
      <c r="I52" s="16"/>
      <c r="J52" s="17"/>
    </row>
    <row r="53" ht="15.75" customHeight="1">
      <c r="A53" s="5">
        <v>45943.0</v>
      </c>
      <c r="B53" s="6">
        <v>39493.0</v>
      </c>
      <c r="C53" s="5">
        <v>45943.0</v>
      </c>
      <c r="D53" s="6">
        <v>164493.93</v>
      </c>
      <c r="E53" s="5">
        <v>45943.0</v>
      </c>
      <c r="F53" s="6">
        <v>44734.51</v>
      </c>
      <c r="G53" s="5">
        <v>45943.0</v>
      </c>
      <c r="H53" s="6">
        <v>4601.0</v>
      </c>
      <c r="I53" s="26">
        <f t="shared" ref="I53:I58" si="7">SUM(H53,F53,D53,B53) -  SUM(H53,F53,D53,B53)</f>
        <v>0</v>
      </c>
      <c r="J53" s="17"/>
    </row>
    <row r="54" ht="15.75" customHeight="1">
      <c r="A54" s="5">
        <v>45972.0</v>
      </c>
      <c r="B54" s="6">
        <v>39493.0</v>
      </c>
      <c r="C54" s="5">
        <v>45974.0</v>
      </c>
      <c r="D54" s="6">
        <v>164493.93</v>
      </c>
      <c r="E54" s="5">
        <v>45974.0</v>
      </c>
      <c r="F54" s="6">
        <v>44734.51</v>
      </c>
      <c r="G54" s="5">
        <v>45974.0</v>
      </c>
      <c r="H54" s="6">
        <v>4601.0</v>
      </c>
      <c r="I54" s="26">
        <f t="shared" si="7"/>
        <v>0</v>
      </c>
      <c r="J54" s="17"/>
    </row>
    <row r="55" ht="15.75" customHeight="1">
      <c r="A55" s="5"/>
      <c r="B55" s="27"/>
      <c r="C55" s="5">
        <v>46004.0</v>
      </c>
      <c r="D55" s="6">
        <v>164493.93</v>
      </c>
      <c r="E55" s="5">
        <v>46004.0</v>
      </c>
      <c r="F55" s="6">
        <v>44734.51</v>
      </c>
      <c r="G55" s="5">
        <v>46004.0</v>
      </c>
      <c r="H55" s="6">
        <v>4601.0</v>
      </c>
      <c r="I55" s="26">
        <f t="shared" si="7"/>
        <v>0</v>
      </c>
      <c r="J55" s="17"/>
    </row>
    <row r="56" ht="15.75" customHeight="1">
      <c r="A56" s="5"/>
      <c r="B56" s="27"/>
      <c r="C56" s="5">
        <v>46035.0</v>
      </c>
      <c r="D56" s="6">
        <v>164493.93</v>
      </c>
      <c r="E56" s="5">
        <v>46035.0</v>
      </c>
      <c r="F56" s="6">
        <v>44734.51</v>
      </c>
      <c r="G56" s="5">
        <v>46035.0</v>
      </c>
      <c r="H56" s="6">
        <v>4601.0</v>
      </c>
      <c r="I56" s="26">
        <f t="shared" si="7"/>
        <v>0</v>
      </c>
      <c r="J56" s="17"/>
    </row>
    <row r="57" ht="15.75" customHeight="1">
      <c r="A57" s="5"/>
      <c r="B57" s="27"/>
      <c r="C57" s="5">
        <v>46066.0</v>
      </c>
      <c r="D57" s="6">
        <v>164493.93</v>
      </c>
      <c r="E57" s="5">
        <v>46066.0</v>
      </c>
      <c r="F57" s="6">
        <v>44734.51</v>
      </c>
      <c r="G57" s="5">
        <v>46066.0</v>
      </c>
      <c r="H57" s="6">
        <v>4601.0</v>
      </c>
      <c r="I57" s="26">
        <f t="shared" si="7"/>
        <v>0</v>
      </c>
      <c r="J57" s="17"/>
    </row>
    <row r="58" ht="15.75" customHeight="1">
      <c r="A58" s="5"/>
      <c r="B58" s="27"/>
      <c r="C58" s="5">
        <v>46094.0</v>
      </c>
      <c r="D58" s="6">
        <v>164493.93</v>
      </c>
      <c r="E58" s="5">
        <v>46094.0</v>
      </c>
      <c r="F58" s="6">
        <v>44734.51</v>
      </c>
      <c r="G58" s="5">
        <v>46094.0</v>
      </c>
      <c r="H58" s="6">
        <v>4601.0</v>
      </c>
      <c r="I58" s="26">
        <f t="shared" si="7"/>
        <v>0</v>
      </c>
      <c r="J58" s="17"/>
    </row>
    <row r="59" ht="15.75" customHeight="1">
      <c r="A59" s="5"/>
      <c r="B59" s="27"/>
      <c r="C59" s="5">
        <v>46125.0</v>
      </c>
      <c r="D59" s="28">
        <v>164493.93</v>
      </c>
      <c r="E59" s="5">
        <v>46125.0</v>
      </c>
      <c r="F59" s="28">
        <v>44734.51</v>
      </c>
      <c r="G59" s="5">
        <v>46125.0</v>
      </c>
      <c r="H59" s="28">
        <v>4601.0</v>
      </c>
      <c r="I59" s="26">
        <f t="shared" ref="I59:I64" si="8">SUM(H59,F59,D59,B59)</f>
        <v>213829.44</v>
      </c>
      <c r="J59" s="17"/>
    </row>
    <row r="60" ht="15.75" customHeight="1">
      <c r="A60" s="5"/>
      <c r="B60" s="27"/>
      <c r="C60" s="5">
        <v>46155.0</v>
      </c>
      <c r="D60" s="28">
        <v>164493.93</v>
      </c>
      <c r="E60" s="5">
        <v>46155.0</v>
      </c>
      <c r="F60" s="28">
        <v>44734.51</v>
      </c>
      <c r="G60" s="5">
        <v>46155.0</v>
      </c>
      <c r="H60" s="28">
        <v>4601.0</v>
      </c>
      <c r="I60" s="26">
        <f t="shared" si="8"/>
        <v>213829.44</v>
      </c>
      <c r="J60" s="17"/>
    </row>
    <row r="61" ht="15.75" customHeight="1">
      <c r="A61" s="5"/>
      <c r="B61" s="27"/>
      <c r="C61" s="5">
        <v>46186.0</v>
      </c>
      <c r="D61" s="28">
        <v>164493.93</v>
      </c>
      <c r="E61" s="5">
        <v>46186.0</v>
      </c>
      <c r="F61" s="28">
        <v>44734.51</v>
      </c>
      <c r="G61" s="5">
        <v>46186.0</v>
      </c>
      <c r="H61" s="28">
        <v>4601.0</v>
      </c>
      <c r="I61" s="26">
        <f t="shared" si="8"/>
        <v>213829.44</v>
      </c>
      <c r="J61" s="17"/>
    </row>
    <row r="62" ht="15.75" customHeight="1">
      <c r="A62" s="5"/>
      <c r="B62" s="27"/>
      <c r="C62" s="5">
        <v>46216.0</v>
      </c>
      <c r="D62" s="28">
        <v>164493.93</v>
      </c>
      <c r="E62" s="5">
        <v>46216.0</v>
      </c>
      <c r="F62" s="28">
        <v>44734.51</v>
      </c>
      <c r="G62" s="5">
        <v>46216.0</v>
      </c>
      <c r="H62" s="28">
        <v>4601.0</v>
      </c>
      <c r="I62" s="26">
        <f t="shared" si="8"/>
        <v>213829.44</v>
      </c>
      <c r="J62" s="17"/>
    </row>
    <row r="63" ht="15.75" customHeight="1">
      <c r="A63" s="5"/>
      <c r="B63" s="27"/>
      <c r="C63" s="5">
        <v>46247.0</v>
      </c>
      <c r="D63" s="28">
        <v>164493.93</v>
      </c>
      <c r="E63" s="5">
        <v>46247.0</v>
      </c>
      <c r="F63" s="28">
        <v>44734.51</v>
      </c>
      <c r="G63" s="5">
        <v>46247.0</v>
      </c>
      <c r="H63" s="28">
        <v>4601.0</v>
      </c>
      <c r="I63" s="26">
        <f t="shared" si="8"/>
        <v>213829.44</v>
      </c>
      <c r="J63" s="17"/>
    </row>
    <row r="64" ht="15.75" customHeight="1">
      <c r="A64" s="7"/>
      <c r="B64" s="7"/>
      <c r="C64" s="5">
        <v>46278.0</v>
      </c>
      <c r="D64" s="28">
        <v>164493.93</v>
      </c>
      <c r="E64" s="5">
        <v>46278.0</v>
      </c>
      <c r="F64" s="28">
        <v>44734.51</v>
      </c>
      <c r="G64" s="5">
        <v>46278.0</v>
      </c>
      <c r="H64" s="28">
        <v>4601.0</v>
      </c>
      <c r="I64" s="26">
        <f t="shared" si="8"/>
        <v>213829.44</v>
      </c>
    </row>
    <row r="65" ht="15.75" customHeight="1">
      <c r="E65" s="29"/>
    </row>
    <row r="66" ht="15.75" customHeight="1">
      <c r="A66" s="1" t="s">
        <v>16</v>
      </c>
    </row>
    <row r="67" ht="15.75" customHeight="1"/>
    <row r="68" ht="15.75" customHeight="1">
      <c r="A68" s="2" t="s">
        <v>1</v>
      </c>
      <c r="C68" s="3" t="s">
        <v>2</v>
      </c>
      <c r="E68" s="2" t="s">
        <v>3</v>
      </c>
      <c r="G68" s="2" t="s">
        <v>4</v>
      </c>
      <c r="I68" s="2" t="s">
        <v>17</v>
      </c>
      <c r="K68" s="2" t="s">
        <v>18</v>
      </c>
      <c r="M68" s="2" t="s">
        <v>18</v>
      </c>
    </row>
    <row r="69" ht="15.75" customHeight="1">
      <c r="A69" s="4" t="s">
        <v>7</v>
      </c>
      <c r="B69" s="4" t="s">
        <v>8</v>
      </c>
      <c r="C69" s="4" t="s">
        <v>7</v>
      </c>
      <c r="D69" s="4" t="s">
        <v>8</v>
      </c>
      <c r="E69" s="4" t="s">
        <v>7</v>
      </c>
      <c r="F69" s="4" t="s">
        <v>8</v>
      </c>
      <c r="G69" s="4" t="s">
        <v>7</v>
      </c>
      <c r="H69" s="4" t="s">
        <v>8</v>
      </c>
      <c r="I69" s="4" t="s">
        <v>7</v>
      </c>
      <c r="J69" s="4" t="s">
        <v>8</v>
      </c>
      <c r="K69" s="4" t="s">
        <v>7</v>
      </c>
      <c r="L69" s="4" t="s">
        <v>8</v>
      </c>
      <c r="M69" s="4" t="s">
        <v>7</v>
      </c>
      <c r="N69" s="4" t="s">
        <v>8</v>
      </c>
    </row>
    <row r="70" ht="15.75" customHeight="1">
      <c r="A70" s="5">
        <v>45722.0</v>
      </c>
      <c r="B70" s="6">
        <v>35630.21</v>
      </c>
      <c r="C70" s="5">
        <v>45737.0</v>
      </c>
      <c r="D70" s="6">
        <v>16300.1</v>
      </c>
      <c r="E70" s="5">
        <v>45737.0</v>
      </c>
      <c r="F70" s="6" t="s">
        <v>19</v>
      </c>
      <c r="G70" s="5"/>
      <c r="H70" s="28"/>
      <c r="I70" s="5"/>
      <c r="J70" s="27"/>
      <c r="K70" s="5">
        <v>45726.0</v>
      </c>
      <c r="L70" s="6">
        <v>40070.71</v>
      </c>
      <c r="M70" s="5">
        <v>45726.0</v>
      </c>
      <c r="N70" s="6">
        <v>14883.41</v>
      </c>
    </row>
    <row r="71" ht="15.75" customHeight="1">
      <c r="A71" s="5">
        <v>45753.0</v>
      </c>
      <c r="B71" s="6">
        <v>35630.21</v>
      </c>
      <c r="C71" s="5">
        <v>45768.0</v>
      </c>
      <c r="D71" s="6">
        <v>16300.1</v>
      </c>
      <c r="E71" s="5">
        <v>45768.0</v>
      </c>
      <c r="F71" s="6" t="s">
        <v>20</v>
      </c>
      <c r="G71" s="5"/>
      <c r="H71" s="28"/>
      <c r="I71" s="5"/>
      <c r="J71" s="27"/>
      <c r="K71" s="5">
        <v>45757.0</v>
      </c>
      <c r="L71" s="6">
        <v>40070.71</v>
      </c>
      <c r="M71" s="5">
        <v>45757.0</v>
      </c>
      <c r="N71" s="6">
        <v>14883.41</v>
      </c>
    </row>
    <row r="72" ht="15.75" customHeight="1">
      <c r="A72" s="5">
        <v>45783.0</v>
      </c>
      <c r="B72" s="6">
        <v>35630.21</v>
      </c>
      <c r="C72" s="5">
        <v>45798.0</v>
      </c>
      <c r="D72" s="6">
        <v>16300.1</v>
      </c>
      <c r="E72" s="5">
        <v>45798.0</v>
      </c>
      <c r="F72" s="6" t="s">
        <v>21</v>
      </c>
      <c r="G72" s="5"/>
      <c r="H72" s="28"/>
      <c r="I72" s="5"/>
      <c r="J72" s="27"/>
      <c r="K72" s="5">
        <v>45787.0</v>
      </c>
      <c r="L72" s="6">
        <v>40070.71</v>
      </c>
      <c r="M72" s="5">
        <v>45787.0</v>
      </c>
      <c r="N72" s="6">
        <v>14883.41</v>
      </c>
    </row>
    <row r="73" ht="15.75" customHeight="1">
      <c r="A73" s="5">
        <v>45814.0</v>
      </c>
      <c r="B73" s="6">
        <v>35630.21</v>
      </c>
      <c r="C73" s="5">
        <v>45829.0</v>
      </c>
      <c r="D73" s="6">
        <v>16300.1</v>
      </c>
      <c r="E73" s="5">
        <v>45829.0</v>
      </c>
      <c r="F73" s="6" t="s">
        <v>22</v>
      </c>
      <c r="G73" s="5"/>
      <c r="H73" s="28"/>
      <c r="I73" s="5"/>
      <c r="J73" s="27"/>
      <c r="K73" s="5">
        <v>45818.0</v>
      </c>
      <c r="L73" s="6">
        <v>40070.71</v>
      </c>
      <c r="M73" s="5">
        <v>45818.0</v>
      </c>
      <c r="N73" s="6">
        <v>14883.41</v>
      </c>
    </row>
    <row r="74" ht="15.75" customHeight="1">
      <c r="A74" s="5">
        <v>45844.0</v>
      </c>
      <c r="B74" s="6">
        <v>35630.21</v>
      </c>
      <c r="C74" s="5">
        <v>45859.0</v>
      </c>
      <c r="D74" s="6">
        <v>16300.1</v>
      </c>
      <c r="E74" s="5">
        <v>45859.0</v>
      </c>
      <c r="F74" s="6" t="s">
        <v>23</v>
      </c>
      <c r="G74" s="5"/>
      <c r="H74" s="28"/>
      <c r="I74" s="5"/>
      <c r="J74" s="27"/>
      <c r="K74" s="5">
        <v>45848.0</v>
      </c>
      <c r="L74" s="6">
        <v>40070.71</v>
      </c>
      <c r="M74" s="5">
        <v>45848.0</v>
      </c>
      <c r="N74" s="6">
        <v>14883.41</v>
      </c>
    </row>
    <row r="75" ht="15.75" customHeight="1">
      <c r="A75" s="5">
        <v>45875.0</v>
      </c>
      <c r="B75" s="6">
        <v>35630.21</v>
      </c>
      <c r="C75" s="5">
        <v>45890.0</v>
      </c>
      <c r="D75" s="6">
        <v>16300.1</v>
      </c>
      <c r="E75" s="5">
        <v>45890.0</v>
      </c>
      <c r="F75" s="6" t="s">
        <v>24</v>
      </c>
      <c r="G75" s="5"/>
      <c r="H75" s="28"/>
      <c r="I75" s="5"/>
      <c r="J75" s="27"/>
      <c r="K75" s="5">
        <v>45879.0</v>
      </c>
      <c r="L75" s="6">
        <v>40070.71</v>
      </c>
      <c r="M75" s="5">
        <v>45879.0</v>
      </c>
      <c r="N75" s="6">
        <v>14883.41</v>
      </c>
    </row>
    <row r="76" ht="15.75" customHeight="1">
      <c r="A76" s="5">
        <v>45906.0</v>
      </c>
      <c r="B76" s="6">
        <v>35630.21</v>
      </c>
      <c r="C76" s="5">
        <v>45921.0</v>
      </c>
      <c r="D76" s="6">
        <v>16300.1</v>
      </c>
      <c r="E76" s="5">
        <v>45921.0</v>
      </c>
      <c r="F76" s="6" t="s">
        <v>25</v>
      </c>
      <c r="G76" s="5"/>
      <c r="H76" s="28"/>
      <c r="I76" s="5">
        <v>45910.0</v>
      </c>
      <c r="J76" s="6">
        <v>-54999.68</v>
      </c>
      <c r="K76" s="5">
        <v>45910.0</v>
      </c>
      <c r="L76" s="6">
        <v>40070.71</v>
      </c>
      <c r="M76" s="5">
        <v>45910.0</v>
      </c>
      <c r="N76" s="6">
        <v>14883.41</v>
      </c>
    </row>
    <row r="77" ht="15.75" customHeight="1">
      <c r="A77" s="5">
        <v>45936.0</v>
      </c>
      <c r="B77" s="6">
        <v>34172.03</v>
      </c>
      <c r="C77" s="5">
        <v>45951.0</v>
      </c>
      <c r="D77" s="6">
        <v>16300.1</v>
      </c>
      <c r="E77" s="5">
        <v>45951.0</v>
      </c>
      <c r="F77" s="6" t="s">
        <v>25</v>
      </c>
      <c r="G77" s="5"/>
      <c r="H77" s="28"/>
      <c r="I77" s="5">
        <v>45940.0</v>
      </c>
      <c r="J77" s="6">
        <v>54999.68</v>
      </c>
      <c r="K77" s="5">
        <v>45940.0</v>
      </c>
      <c r="L77" s="6">
        <v>40070.71</v>
      </c>
      <c r="M77" s="5">
        <v>45940.0</v>
      </c>
      <c r="N77" s="6">
        <v>14883.41</v>
      </c>
      <c r="O77" s="11">
        <f>SUM(N77,L77,J77,F77,D77,B77) - SUM(N77,L77,J77,F77,D77,B77)</f>
        <v>0</v>
      </c>
    </row>
    <row r="78" ht="15.75" customHeight="1">
      <c r="A78" s="5">
        <v>45967.0</v>
      </c>
      <c r="B78" s="6">
        <v>33924.95</v>
      </c>
      <c r="C78" s="5">
        <v>45982.0</v>
      </c>
      <c r="D78" s="6">
        <v>16300.1</v>
      </c>
      <c r="E78" s="5">
        <v>45982.0</v>
      </c>
      <c r="F78" s="6" t="s">
        <v>26</v>
      </c>
      <c r="G78" s="5">
        <v>45967.0</v>
      </c>
      <c r="H78" s="6">
        <v>78760.0</v>
      </c>
      <c r="I78" s="5">
        <v>45971.0</v>
      </c>
      <c r="J78" s="6">
        <v>54999.68</v>
      </c>
      <c r="K78" s="5">
        <v>45971.0</v>
      </c>
      <c r="L78" s="6">
        <v>40070.71</v>
      </c>
      <c r="M78" s="5">
        <v>45971.0</v>
      </c>
      <c r="N78" s="6">
        <v>14883.41</v>
      </c>
      <c r="O78" s="11">
        <f t="shared" ref="O78:O82" si="9">SUM(N78,L78,J78,H78,F78,D78,B78) - SUM(N78,L78,J78,H78,F78,D78,B78)</f>
        <v>0</v>
      </c>
    </row>
    <row r="79" ht="15.75" customHeight="1">
      <c r="A79" s="5">
        <v>45997.0</v>
      </c>
      <c r="B79" s="6">
        <v>33666.26</v>
      </c>
      <c r="C79" s="5">
        <v>46012.0</v>
      </c>
      <c r="D79" s="6">
        <v>15900.38</v>
      </c>
      <c r="E79" s="5">
        <v>46012.0</v>
      </c>
      <c r="F79" s="6">
        <v>19800.38</v>
      </c>
      <c r="G79" s="5">
        <v>45997.0</v>
      </c>
      <c r="H79" s="6">
        <v>78760.0</v>
      </c>
      <c r="I79" s="5"/>
      <c r="J79" s="27"/>
      <c r="K79" s="5">
        <v>46001.0</v>
      </c>
      <c r="L79" s="6">
        <v>40070.71</v>
      </c>
      <c r="M79" s="5">
        <v>46001.0</v>
      </c>
      <c r="N79" s="6">
        <v>14883.41</v>
      </c>
      <c r="O79" s="11">
        <f t="shared" si="9"/>
        <v>0</v>
      </c>
    </row>
    <row r="80" ht="15.75" customHeight="1">
      <c r="A80" s="5">
        <v>46028.0</v>
      </c>
      <c r="B80" s="30">
        <v>33397.26</v>
      </c>
      <c r="C80" s="5">
        <v>46043.0</v>
      </c>
      <c r="D80" s="6">
        <v>15900.38</v>
      </c>
      <c r="E80" s="5">
        <v>46043.0</v>
      </c>
      <c r="F80" s="6">
        <v>19800.38</v>
      </c>
      <c r="G80" s="5">
        <v>46028.0</v>
      </c>
      <c r="H80" s="6">
        <v>78760.0</v>
      </c>
      <c r="I80" s="5"/>
      <c r="J80" s="27"/>
      <c r="K80" s="5">
        <v>46032.0</v>
      </c>
      <c r="L80" s="6">
        <v>40070.71</v>
      </c>
      <c r="M80" s="5">
        <v>46032.0</v>
      </c>
      <c r="N80" s="6">
        <v>14883.41</v>
      </c>
      <c r="O80" s="11">
        <f t="shared" si="9"/>
        <v>0</v>
      </c>
    </row>
    <row r="81" ht="15.75" customHeight="1">
      <c r="A81" s="5">
        <v>46059.0</v>
      </c>
      <c r="B81" s="6">
        <v>33115.72</v>
      </c>
      <c r="C81" s="5">
        <v>46074.0</v>
      </c>
      <c r="D81" s="6">
        <v>15900.38</v>
      </c>
      <c r="E81" s="5">
        <v>46074.0</v>
      </c>
      <c r="F81" s="6">
        <v>19800.38</v>
      </c>
      <c r="G81" s="5">
        <v>46059.0</v>
      </c>
      <c r="H81" s="6">
        <v>78760.0</v>
      </c>
      <c r="I81" s="5"/>
      <c r="J81" s="27"/>
      <c r="K81" s="5">
        <v>46063.0</v>
      </c>
      <c r="L81" s="6">
        <v>40070.71</v>
      </c>
      <c r="M81" s="5">
        <v>46063.0</v>
      </c>
      <c r="N81" s="6">
        <v>14883.41</v>
      </c>
      <c r="O81" s="11">
        <f t="shared" si="9"/>
        <v>0</v>
      </c>
    </row>
    <row r="82" ht="15.75" customHeight="1">
      <c r="A82" s="7"/>
      <c r="B82" s="7"/>
      <c r="C82" s="5">
        <v>46102.0</v>
      </c>
      <c r="D82" s="6">
        <v>15900.38</v>
      </c>
      <c r="E82" s="5">
        <v>46102.0</v>
      </c>
      <c r="F82" s="6">
        <v>19800.38</v>
      </c>
      <c r="G82" s="5">
        <v>46087.0</v>
      </c>
      <c r="H82" s="6">
        <v>78760.0</v>
      </c>
      <c r="O82" s="22">
        <f t="shared" si="9"/>
        <v>0</v>
      </c>
    </row>
    <row r="83" ht="15.75" customHeight="1">
      <c r="A83" s="7"/>
      <c r="B83" s="7"/>
      <c r="C83" s="5">
        <v>46133.0</v>
      </c>
      <c r="D83" s="28">
        <v>15900.38</v>
      </c>
      <c r="E83" s="5">
        <v>46133.0</v>
      </c>
      <c r="F83" s="28">
        <v>19800.38</v>
      </c>
      <c r="G83" s="5">
        <v>46118.0</v>
      </c>
      <c r="H83" s="28">
        <v>78760.0</v>
      </c>
      <c r="O83" s="22">
        <f t="shared" ref="O83:O103" si="10">SUM(N83,L83,J83,H83,F83,D83,B83)</f>
        <v>114460.76</v>
      </c>
    </row>
    <row r="84" ht="15.75" customHeight="1">
      <c r="A84" s="7"/>
      <c r="B84" s="7"/>
      <c r="C84" s="5">
        <v>46163.0</v>
      </c>
      <c r="D84" s="28">
        <v>15900.38</v>
      </c>
      <c r="E84" s="5">
        <v>46163.0</v>
      </c>
      <c r="F84" s="28">
        <v>19800.38</v>
      </c>
      <c r="G84" s="5">
        <v>46148.0</v>
      </c>
      <c r="H84" s="28">
        <v>78760.0</v>
      </c>
      <c r="O84" s="22">
        <f t="shared" si="10"/>
        <v>114460.76</v>
      </c>
    </row>
    <row r="85" ht="15.75" customHeight="1">
      <c r="A85" s="7"/>
      <c r="B85" s="7"/>
      <c r="C85" s="5">
        <v>46194.0</v>
      </c>
      <c r="D85" s="28">
        <v>15900.38</v>
      </c>
      <c r="E85" s="5">
        <v>46194.0</v>
      </c>
      <c r="F85" s="28">
        <v>19800.38</v>
      </c>
      <c r="G85" s="5">
        <v>46179.0</v>
      </c>
      <c r="H85" s="28">
        <v>78760.0</v>
      </c>
      <c r="O85" s="22">
        <f t="shared" si="10"/>
        <v>114460.76</v>
      </c>
    </row>
    <row r="86" ht="15.75" customHeight="1">
      <c r="A86" s="7"/>
      <c r="B86" s="7"/>
      <c r="C86" s="5">
        <v>46224.0</v>
      </c>
      <c r="D86" s="28">
        <v>15900.38</v>
      </c>
      <c r="E86" s="5">
        <v>46224.0</v>
      </c>
      <c r="F86" s="28">
        <v>19800.38</v>
      </c>
      <c r="G86" s="5">
        <v>46209.0</v>
      </c>
      <c r="H86" s="28">
        <v>78760.0</v>
      </c>
      <c r="O86" s="22">
        <f t="shared" si="10"/>
        <v>114460.76</v>
      </c>
    </row>
    <row r="87" ht="15.75" customHeight="1">
      <c r="A87" s="7"/>
      <c r="B87" s="7"/>
      <c r="C87" s="5">
        <v>46255.0</v>
      </c>
      <c r="D87" s="28">
        <v>15900.38</v>
      </c>
      <c r="E87" s="5">
        <v>46255.0</v>
      </c>
      <c r="F87" s="28">
        <v>19800.38</v>
      </c>
      <c r="G87" s="5">
        <v>46240.0</v>
      </c>
      <c r="H87" s="28">
        <v>78760.0</v>
      </c>
      <c r="O87" s="22">
        <f t="shared" si="10"/>
        <v>114460.76</v>
      </c>
    </row>
    <row r="88" ht="15.75" customHeight="1">
      <c r="A88" s="7"/>
      <c r="B88" s="7"/>
      <c r="C88" s="5">
        <v>46286.0</v>
      </c>
      <c r="D88" s="28">
        <v>15900.38</v>
      </c>
      <c r="E88" s="5">
        <v>46286.0</v>
      </c>
      <c r="F88" s="28">
        <v>19800.38</v>
      </c>
      <c r="G88" s="5">
        <v>46271.0</v>
      </c>
      <c r="H88" s="28">
        <v>78760.0</v>
      </c>
      <c r="O88" s="22">
        <f t="shared" si="10"/>
        <v>114460.76</v>
      </c>
    </row>
    <row r="89" ht="15.75" customHeight="1">
      <c r="A89" s="7"/>
      <c r="B89" s="7"/>
      <c r="C89" s="5">
        <v>46316.0</v>
      </c>
      <c r="D89" s="28">
        <v>15900.38</v>
      </c>
      <c r="E89" s="5">
        <v>46316.0</v>
      </c>
      <c r="F89" s="28">
        <v>19800.38</v>
      </c>
      <c r="G89" s="5">
        <v>46301.0</v>
      </c>
      <c r="H89" s="28">
        <v>78760.0</v>
      </c>
      <c r="O89" s="22">
        <f t="shared" si="10"/>
        <v>114460.76</v>
      </c>
    </row>
    <row r="90" ht="15.75" customHeight="1">
      <c r="A90" s="7"/>
      <c r="B90" s="7"/>
      <c r="C90" s="5">
        <v>46347.0</v>
      </c>
      <c r="D90" s="28">
        <v>15900.38</v>
      </c>
      <c r="E90" s="5">
        <v>46347.0</v>
      </c>
      <c r="F90" s="28">
        <v>18800.31</v>
      </c>
      <c r="G90" s="5">
        <v>46332.0</v>
      </c>
      <c r="H90" s="28">
        <v>78760.0</v>
      </c>
      <c r="O90" s="22">
        <f t="shared" si="10"/>
        <v>113460.69</v>
      </c>
    </row>
    <row r="91" ht="15.75" customHeight="1">
      <c r="A91" s="7"/>
      <c r="B91" s="7"/>
      <c r="C91" s="5">
        <v>46377.0</v>
      </c>
      <c r="D91" s="28">
        <v>14900.28</v>
      </c>
      <c r="E91" s="5">
        <v>46377.0</v>
      </c>
      <c r="F91" s="28">
        <v>18800.31</v>
      </c>
      <c r="G91" s="5">
        <v>46362.0</v>
      </c>
      <c r="H91" s="28">
        <v>78760.0</v>
      </c>
      <c r="O91" s="22">
        <f t="shared" si="10"/>
        <v>112460.59</v>
      </c>
    </row>
    <row r="92" ht="15.75" customHeight="1">
      <c r="A92" s="7"/>
      <c r="B92" s="7"/>
      <c r="C92" s="5">
        <v>46408.0</v>
      </c>
      <c r="D92" s="28">
        <v>14900.28</v>
      </c>
      <c r="E92" s="5">
        <v>46408.0</v>
      </c>
      <c r="F92" s="28">
        <v>18800.31</v>
      </c>
      <c r="G92" s="5">
        <v>46028.0</v>
      </c>
      <c r="H92" s="28">
        <v>78760.0</v>
      </c>
      <c r="O92" s="22">
        <f t="shared" si="10"/>
        <v>112460.59</v>
      </c>
    </row>
    <row r="93" ht="15.75" customHeight="1">
      <c r="A93" s="7"/>
      <c r="B93" s="7"/>
      <c r="C93" s="5">
        <v>46439.0</v>
      </c>
      <c r="D93" s="28">
        <v>14900.28</v>
      </c>
      <c r="E93" s="5">
        <v>46439.0</v>
      </c>
      <c r="F93" s="28">
        <v>18800.31</v>
      </c>
      <c r="G93" s="5">
        <v>46059.0</v>
      </c>
      <c r="H93" s="28">
        <v>78760.0</v>
      </c>
      <c r="O93" s="22">
        <f t="shared" si="10"/>
        <v>112460.59</v>
      </c>
    </row>
    <row r="94" ht="15.75" customHeight="1">
      <c r="A94" s="7"/>
      <c r="B94" s="7"/>
      <c r="C94" s="5">
        <v>46467.0</v>
      </c>
      <c r="D94" s="28">
        <v>14900.28</v>
      </c>
      <c r="E94" s="5">
        <v>46467.0</v>
      </c>
      <c r="F94" s="28">
        <v>18800.31</v>
      </c>
      <c r="G94" s="5">
        <v>46452.0</v>
      </c>
      <c r="H94" s="28">
        <v>78760.0</v>
      </c>
      <c r="O94" s="22">
        <f t="shared" si="10"/>
        <v>112460.59</v>
      </c>
    </row>
    <row r="95" ht="15.75" customHeight="1">
      <c r="A95" s="7"/>
      <c r="B95" s="7"/>
      <c r="C95" s="5">
        <v>46498.0</v>
      </c>
      <c r="D95" s="28">
        <v>14900.28</v>
      </c>
      <c r="E95" s="5">
        <v>46498.0</v>
      </c>
      <c r="F95" s="28">
        <v>18800.31</v>
      </c>
      <c r="G95" s="5">
        <v>46483.0</v>
      </c>
      <c r="H95" s="28">
        <v>78760.0</v>
      </c>
      <c r="O95" s="22">
        <f t="shared" si="10"/>
        <v>112460.59</v>
      </c>
    </row>
    <row r="96" ht="15.75" customHeight="1">
      <c r="A96" s="7"/>
      <c r="B96" s="7"/>
      <c r="C96" s="7"/>
      <c r="D96" s="7"/>
      <c r="E96" s="7"/>
      <c r="F96" s="7"/>
      <c r="G96" s="5">
        <v>46513.0</v>
      </c>
      <c r="H96" s="28">
        <v>78760.0</v>
      </c>
      <c r="O96" s="22">
        <f t="shared" si="10"/>
        <v>78760</v>
      </c>
    </row>
    <row r="97" ht="15.75" customHeight="1">
      <c r="A97" s="7"/>
      <c r="B97" s="7"/>
      <c r="C97" s="7"/>
      <c r="D97" s="7"/>
      <c r="E97" s="7"/>
      <c r="F97" s="7"/>
      <c r="G97" s="5">
        <v>46544.0</v>
      </c>
      <c r="H97" s="28">
        <v>78760.0</v>
      </c>
      <c r="O97" s="22">
        <f t="shared" si="10"/>
        <v>78760</v>
      </c>
    </row>
    <row r="98" ht="15.75" customHeight="1">
      <c r="A98" s="7"/>
      <c r="B98" s="7"/>
      <c r="C98" s="7"/>
      <c r="D98" s="7"/>
      <c r="E98" s="7"/>
      <c r="F98" s="7"/>
      <c r="G98" s="5">
        <v>46574.0</v>
      </c>
      <c r="H98" s="28">
        <v>78760.0</v>
      </c>
      <c r="O98" s="22">
        <f t="shared" si="10"/>
        <v>78760</v>
      </c>
    </row>
    <row r="99" ht="15.75" customHeight="1">
      <c r="A99" s="7"/>
      <c r="B99" s="7"/>
      <c r="C99" s="7"/>
      <c r="D99" s="7"/>
      <c r="E99" s="7"/>
      <c r="F99" s="7"/>
      <c r="G99" s="5">
        <v>46605.0</v>
      </c>
      <c r="H99" s="28">
        <v>78760.0</v>
      </c>
      <c r="O99" s="22">
        <f t="shared" si="10"/>
        <v>78760</v>
      </c>
    </row>
    <row r="100" ht="15.75" customHeight="1">
      <c r="A100" s="7"/>
      <c r="B100" s="7"/>
      <c r="C100" s="7"/>
      <c r="D100" s="7"/>
      <c r="E100" s="7"/>
      <c r="F100" s="7"/>
      <c r="G100" s="5">
        <v>46636.0</v>
      </c>
      <c r="H100" s="28">
        <v>78760.0</v>
      </c>
      <c r="O100" s="22">
        <f t="shared" si="10"/>
        <v>78760</v>
      </c>
    </row>
    <row r="101" ht="15.75" customHeight="1">
      <c r="A101" s="7"/>
      <c r="B101" s="7"/>
      <c r="C101" s="7"/>
      <c r="D101" s="7"/>
      <c r="E101" s="7"/>
      <c r="F101" s="7"/>
      <c r="G101" s="5">
        <v>46666.0</v>
      </c>
      <c r="H101" s="28">
        <v>78760.0</v>
      </c>
      <c r="O101" s="22">
        <f t="shared" si="10"/>
        <v>78760</v>
      </c>
    </row>
    <row r="102" ht="15.75" customHeight="1">
      <c r="G102" s="5">
        <v>46697.0</v>
      </c>
      <c r="H102" s="28">
        <v>78760.0</v>
      </c>
      <c r="O102" s="22">
        <f t="shared" si="10"/>
        <v>78760</v>
      </c>
    </row>
    <row r="103" ht="15.75" customHeight="1">
      <c r="G103" s="5">
        <v>46727.0</v>
      </c>
      <c r="H103" s="28">
        <v>78760.0</v>
      </c>
      <c r="O103" s="22">
        <f t="shared" si="10"/>
        <v>78760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L2"/>
    <mergeCell ref="A3:B3"/>
    <mergeCell ref="C3:D3"/>
    <mergeCell ref="E3:F3"/>
    <mergeCell ref="G3:H3"/>
    <mergeCell ref="I3:J3"/>
    <mergeCell ref="K3:L3"/>
    <mergeCell ref="K14:L14"/>
    <mergeCell ref="A15:J16"/>
    <mergeCell ref="A17:B17"/>
    <mergeCell ref="C17:D17"/>
    <mergeCell ref="E17:F17"/>
    <mergeCell ref="A32:B32"/>
    <mergeCell ref="C32:D32"/>
    <mergeCell ref="A68:B68"/>
    <mergeCell ref="C68:D68"/>
    <mergeCell ref="E68:F68"/>
    <mergeCell ref="G68:H68"/>
    <mergeCell ref="I68:J68"/>
    <mergeCell ref="K68:L68"/>
    <mergeCell ref="M68:N68"/>
    <mergeCell ref="A48:H49"/>
    <mergeCell ref="A50:B50"/>
    <mergeCell ref="C50:D50"/>
    <mergeCell ref="E50:F50"/>
    <mergeCell ref="G50:H50"/>
    <mergeCell ref="I50:J50"/>
    <mergeCell ref="A66:L67"/>
  </mergeCells>
  <drawing r:id="rId1"/>
</worksheet>
</file>
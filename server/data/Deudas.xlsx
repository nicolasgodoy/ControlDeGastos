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<sst xmlns="http://schemas.openxmlformats.org/spreadsheetml/2006/main" count="71" uniqueCount="25">
  <si>
    <t>GALICIA</t>
  </si>
  <si>
    <t>PRESTAMO 1</t>
  </si>
  <si>
    <t>PRESTAMO 2</t>
  </si>
  <si>
    <t>PRESTAMO 3</t>
  </si>
  <si>
    <t>PRESTAMO 4</t>
  </si>
  <si>
    <t>PRESTAMO 5</t>
  </si>
  <si>
    <t>PRESTAMO 6</t>
  </si>
  <si>
    <t>Fecha</t>
  </si>
  <si>
    <t>Cuotas</t>
  </si>
  <si>
    <t>TOTAL</t>
  </si>
  <si>
    <t>TOTAL MENSUAL</t>
  </si>
  <si>
    <t>NARANJA</t>
  </si>
  <si>
    <t>GASTOS FIJOS</t>
  </si>
  <si>
    <t>MERCADO PAGO</t>
  </si>
  <si>
    <t>ICBC</t>
  </si>
  <si>
    <t>TARJETA</t>
  </si>
  <si>
    <t>TARJETA(Adelante Efectivo no prestamos)</t>
  </si>
  <si>
    <t>20,228,87</t>
  </si>
  <si>
    <t>20,228,88</t>
  </si>
  <si>
    <t>20,228,89</t>
  </si>
  <si>
    <t>20,228,90</t>
  </si>
  <si>
    <t>20,228,91</t>
  </si>
  <si>
    <t>20,228,92</t>
  </si>
  <si>
    <t>20,228,93</t>
  </si>
  <si>
    <t>20,228,94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</si>
</sst>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m/yyyy"/>
    <numFmt numFmtId="167" formatCode="yyyy\-mm\-dd\ h:mm:ss"/>
  </numFmts>
  <fonts count="16">
    <font>
      <sz val="10.0"/>
      <color rgb="FF000000"/>
      <name val="Arial"/>
      <scheme val="minor"/>
    </font>
    <font>
      <b/>
      <sz val="14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1.0"/>
      <color rgb="FFFFFFFF"/>
      <name val="Cambria"/>
    </font>
    <font>
      <sz val="11.0"/>
      <color theme="1"/>
      <name val="Arial"/>
    </font>
    <font>
      <sz val="10.0"/>
      <color rgb="FFFFFFFF"/>
      <name val="Arial"/>
    </font>
    <font>
      <b/>
      <sz val="10.0"/>
      <color rgb="FFFFFFFF"/>
      <name val="Arial"/>
    </font>
    <font>
      <b/>
      <sz val="19.0"/>
      <color rgb="FFFFFFFF"/>
      <name val="Impact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FFFFFF"/>
      <name val="Arial"/>
    </font>
    <font>
      <b/>
      <sz val="14.0"/>
      <color rgb="FFFFFFFF"/>
      <name val="Arial"/>
    </font>
    <font>
      <sz val="11.0"/>
      <color rgb="FF6A6A6A"/>
      <name val="Inter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/>
    </border>
    <border>
      <top/>
      <bottom/>
    </border>
    <border>
      <lef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3" fillId="4" fontId="4" numFmtId="0" xfId="0" applyAlignment="1" applyBorder="1" applyFill="1" applyFont="1">
      <alignment horizontal="center" shrinkToFit="0" vertical="center" wrapText="0"/>
    </xf>
    <xf borderId="5" fillId="4" fontId="4" numFmtId="0" xfId="0" applyAlignment="1" applyBorder="1" applyFont="1">
      <alignment horizontal="center" shrinkToFit="0" vertical="center" wrapText="0"/>
    </xf>
    <xf borderId="6" fillId="4" fontId="5" numFmtId="0" xfId="0" applyAlignment="1" applyBorder="1" applyFont="1">
      <alignment shrinkToFit="0" vertical="bottom" wrapText="0"/>
    </xf>
    <xf borderId="2" fillId="4" fontId="5" numFmtId="0" xfId="0" applyAlignment="1" applyBorder="1" applyFont="1">
      <alignment shrinkToFit="0" vertical="bottom" wrapText="0"/>
    </xf>
    <xf borderId="3" fillId="5" fontId="4" numFmtId="164" xfId="0" applyAlignment="1" applyBorder="1" applyFill="1" applyFont="1" applyNumberFormat="1">
      <alignment horizontal="center" shrinkToFit="0" vertical="center" wrapText="0"/>
    </xf>
    <xf borderId="3" fillId="6" fontId="4" numFmtId="4" xfId="0" applyAlignment="1" applyBorder="1" applyFill="1" applyFont="1" applyNumberFormat="1">
      <alignment horizontal="center" shrinkToFit="0" vertical="center" wrapText="0"/>
    </xf>
    <xf borderId="4" fillId="6" fontId="4" numFmtId="4" xfId="0" applyAlignment="1" applyBorder="1" applyFont="1" applyNumberFormat="1">
      <alignment horizontal="center" shrinkToFit="0" vertical="center" wrapText="0"/>
    </xf>
    <xf borderId="6" fillId="5" fontId="4" numFmtId="165" xfId="0" applyAlignment="1" applyBorder="1" applyFont="1" applyNumberFormat="1">
      <alignment horizontal="center" shrinkToFit="0" vertical="bottom" wrapText="0"/>
    </xf>
    <xf borderId="3" fillId="6" fontId="4" numFmtId="0" xfId="0" applyAlignment="1" applyBorder="1" applyFont="1">
      <alignment horizontal="center" shrinkToFit="0" vertical="bottom" wrapText="0"/>
    </xf>
    <xf borderId="0" fillId="0" fontId="6" numFmtId="4" xfId="0" applyAlignment="1" applyFont="1" applyNumberFormat="1">
      <alignment shrinkToFit="0" vertical="bottom" wrapText="0"/>
    </xf>
    <xf borderId="3" fillId="5" fontId="4" numFmtId="165" xfId="0" applyAlignment="1" applyBorder="1" applyFont="1" applyNumberFormat="1">
      <alignment horizontal="center" shrinkToFit="0" vertical="bottom" wrapText="0"/>
    </xf>
    <xf borderId="3" fillId="7" fontId="4" numFmtId="4" xfId="0" applyAlignment="1" applyBorder="1" applyFill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3" fillId="5" fontId="2" numFmtId="0" xfId="0" applyAlignment="1" applyBorder="1" applyFont="1">
      <alignment shrinkToFit="0" vertical="bottom" wrapText="0"/>
    </xf>
    <xf borderId="7" fillId="7" fontId="8" numFmtId="0" xfId="0" applyAlignment="1" applyBorder="1" applyFont="1">
      <alignment horizontal="center" readingOrder="0" shrinkToFit="0" vertical="bottom" wrapText="0"/>
    </xf>
    <xf borderId="8" fillId="7" fontId="4" numFmtId="4" xfId="0" applyAlignment="1" applyBorder="1" applyFont="1" applyNumberFormat="1">
      <alignment horizontal="center" readingOrder="0" shrinkToFit="0" vertical="center" wrapText="0"/>
    </xf>
    <xf borderId="3" fillId="8" fontId="4" numFmtId="4" xfId="0" applyAlignment="1" applyBorder="1" applyFill="1" applyFont="1" applyNumberFormat="1">
      <alignment horizontal="center" shrinkToFit="0" vertical="center" wrapText="0"/>
    </xf>
    <xf borderId="0" fillId="2" fontId="9" numFmtId="0" xfId="0" applyAlignment="1" applyFont="1">
      <alignment horizontal="center" shrinkToFit="0" vertical="bottom" wrapText="0"/>
    </xf>
    <xf borderId="9" fillId="2" fontId="9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2" fontId="4" numFmtId="0" xfId="0" applyAlignment="1" applyFont="1">
      <alignment shrinkToFit="0" vertical="bottom" wrapText="0"/>
    </xf>
    <xf borderId="9" fillId="2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horizontal="center" shrinkToFit="0" vertical="center" wrapText="0"/>
    </xf>
    <xf borderId="0" fillId="2" fontId="4" numFmtId="165" xfId="0" applyAlignment="1" applyFont="1" applyNumberFormat="1">
      <alignment shrinkToFit="0" vertical="bottom" wrapText="0"/>
    </xf>
    <xf borderId="9" fillId="2" fontId="4" numFmtId="4" xfId="0" applyAlignment="1" applyBorder="1" applyFont="1" applyNumberFormat="1">
      <alignment horizontal="center" shrinkToFit="0" vertical="bottom" wrapText="0"/>
    </xf>
    <xf borderId="3" fillId="3" fontId="4" numFmtId="164" xfId="0" applyAlignment="1" applyBorder="1" applyFont="1" applyNumberFormat="1">
      <alignment horizontal="center" shrinkToFit="0" vertical="center" wrapText="0"/>
    </xf>
    <xf borderId="3" fillId="6" fontId="8" numFmtId="4" xfId="0" applyAlignment="1" applyBorder="1" applyFont="1" applyNumberFormat="1">
      <alignment horizontal="center" readingOrder="0" shrinkToFit="0" vertical="center" wrapText="0"/>
    </xf>
    <xf borderId="7" fillId="6" fontId="4" numFmtId="4" xfId="0" applyAlignment="1" applyBorder="1" applyFont="1" applyNumberFormat="1">
      <alignment horizontal="center" shrinkToFit="0" vertical="center" wrapText="0"/>
    </xf>
    <xf borderId="0" fillId="2" fontId="2" numFmtId="0" xfId="0" applyAlignment="1" applyFont="1">
      <alignment shrinkToFit="0" vertical="bottom" wrapText="0"/>
    </xf>
    <xf borderId="9" fillId="2" fontId="10" numFmtId="166" xfId="0" applyAlignment="1" applyBorder="1" applyFont="1" applyNumberForma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3" fillId="4" fontId="4" numFmtId="164" xfId="0" applyAlignment="1" applyBorder="1" applyFont="1" applyNumberFormat="1">
      <alignment horizontal="center" shrinkToFit="0" vertical="center" wrapText="0"/>
    </xf>
    <xf borderId="7" fillId="4" fontId="4" numFmtId="4" xfId="0" applyAlignment="1" applyBorder="1" applyFont="1" applyNumberFormat="1">
      <alignment horizontal="center" shrinkToFit="0" vertical="center" wrapText="0"/>
    </xf>
    <xf borderId="1" fillId="2" fontId="12" numFmtId="3" xfId="0" applyAlignment="1" applyBorder="1" applyFont="1" applyNumberFormat="1">
      <alignment shrinkToFit="0" vertical="bottom" wrapText="0"/>
    </xf>
    <xf borderId="7" fillId="5" fontId="4" numFmtId="4" xfId="0" applyAlignment="1" applyBorder="1" applyFont="1" applyNumberFormat="1">
      <alignment horizontal="center" shrinkToFit="0" vertical="center" wrapText="0"/>
    </xf>
    <xf borderId="0" fillId="2" fontId="4" numFmtId="4" xfId="0" applyAlignment="1" applyFont="1" applyNumberFormat="1">
      <alignment horizontal="center" shrinkToFit="0" vertical="bottom" wrapText="0"/>
    </xf>
    <xf borderId="10" fillId="5" fontId="4" numFmtId="164" xfId="0" applyAlignment="1" applyBorder="1" applyFont="1" applyNumberFormat="1">
      <alignment horizontal="center" shrinkToFit="0" vertical="center" wrapText="0"/>
    </xf>
    <xf borderId="10" fillId="8" fontId="4" numFmtId="4" xfId="0" applyAlignment="1" applyBorder="1" applyFont="1" applyNumberFormat="1">
      <alignment horizontal="center" shrinkToFit="0" vertical="center" wrapText="0"/>
    </xf>
    <xf borderId="11" fillId="5" fontId="4" numFmtId="4" xfId="0" applyAlignment="1" applyBorder="1" applyFont="1" applyNumberFormat="1">
      <alignment horizontal="center" shrinkToFit="0" vertical="center" wrapText="0"/>
    </xf>
    <xf borderId="0" fillId="2" fontId="13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right" shrinkToFit="0" vertical="bottom" wrapText="0"/>
    </xf>
    <xf borderId="0" fillId="2" fontId="8" numFmtId="167" xfId="0" applyAlignment="1" applyFont="1" applyNumberFormat="1">
      <alignment shrinkToFit="0" vertical="bottom" wrapText="0"/>
    </xf>
    <xf borderId="0" fillId="2" fontId="8" numFmtId="3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2" fontId="4" numFmtId="167" xfId="0" applyAlignment="1" applyFont="1" applyNumberFormat="1">
      <alignment horizontal="left" shrinkToFit="0" vertical="bottom" wrapText="0"/>
    </xf>
    <xf borderId="0" fillId="2" fontId="4" numFmtId="3" xfId="0" applyAlignment="1" applyFont="1" applyNumberFormat="1">
      <alignment horizontal="center" shrinkToFit="0" vertical="bottom" wrapText="0"/>
    </xf>
    <xf borderId="0" fillId="2" fontId="4" numFmtId="167" xfId="0" applyAlignment="1" applyFont="1" applyNumberFormat="1">
      <alignment shrinkToFit="0" vertical="bottom" wrapText="0"/>
    </xf>
    <xf borderId="0" fillId="2" fontId="10" numFmtId="165" xfId="0" applyAlignment="1" applyFont="1" applyNumberFormat="1">
      <alignment shrinkToFit="0" vertical="bottom" wrapText="0"/>
    </xf>
    <xf borderId="0" fillId="2" fontId="10" numFmtId="4" xfId="0" applyAlignment="1" applyFont="1" applyNumberFormat="1">
      <alignment horizontal="center" shrinkToFit="0" vertical="bottom" wrapText="0"/>
    </xf>
    <xf borderId="0" fillId="2" fontId="10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12" fillId="2" fontId="9" numFmtId="0" xfId="0" applyAlignment="1" applyBorder="1" applyFont="1">
      <alignment horizontal="center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horizontal="center" shrinkToFit="0" vertical="bottom" wrapText="0"/>
    </xf>
    <xf borderId="14" fillId="3" fontId="4" numFmtId="0" xfId="0" applyAlignment="1" applyBorder="1" applyFont="1">
      <alignment horizontal="center" shrinkToFit="0" vertical="bottom" wrapText="0"/>
    </xf>
    <xf borderId="13" fillId="2" fontId="4" numFmtId="0" xfId="0" applyAlignment="1" applyBorder="1" applyFont="1">
      <alignment horizontal="center" shrinkToFit="0" vertical="bottom" wrapText="0"/>
    </xf>
    <xf borderId="1" fillId="4" fontId="4" numFmtId="0" xfId="0" applyAlignment="1" applyBorder="1" applyFont="1">
      <alignment shrinkToFit="0" vertical="bottom" wrapText="0"/>
    </xf>
    <xf borderId="14" fillId="4" fontId="4" numFmtId="0" xfId="0" applyAlignment="1" applyBorder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13" fillId="2" fontId="4" numFmtId="0" xfId="0" applyAlignment="1" applyBorder="1" applyFont="1">
      <alignment shrinkToFit="0" vertical="bottom" wrapText="0"/>
    </xf>
    <xf borderId="1" fillId="5" fontId="4" numFmtId="165" xfId="0" applyAlignment="1" applyBorder="1" applyFont="1" applyNumberFormat="1">
      <alignment shrinkToFit="0" vertical="bottom" wrapText="0"/>
    </xf>
    <xf borderId="1" fillId="6" fontId="4" numFmtId="4" xfId="0" applyAlignment="1" applyBorder="1" applyFont="1" applyNumberFormat="1">
      <alignment horizontal="center" shrinkToFit="0" vertical="bottom" wrapText="0"/>
    </xf>
    <xf borderId="1" fillId="5" fontId="6" numFmtId="0" xfId="0" applyAlignment="1" applyBorder="1" applyFont="1">
      <alignment shrinkToFit="0" vertical="bottom" wrapText="0"/>
    </xf>
    <xf borderId="14" fillId="5" fontId="6" numFmtId="0" xfId="0" applyAlignment="1" applyBorder="1" applyFont="1">
      <alignment shrinkToFit="0" vertical="bottom" wrapText="0"/>
    </xf>
    <xf borderId="0" fillId="5" fontId="6" numFmtId="0" xfId="0" applyAlignment="1" applyFont="1">
      <alignment shrinkToFit="0" vertical="bottom" wrapText="0"/>
    </xf>
    <xf borderId="13" fillId="2" fontId="4" numFmtId="165" xfId="0" applyAlignment="1" applyBorder="1" applyFont="1" applyNumberFormat="1">
      <alignment shrinkToFit="0" vertical="bottom" wrapText="0"/>
    </xf>
    <xf borderId="14" fillId="5" fontId="4" numFmtId="165" xfId="0" applyAlignment="1" applyBorder="1" applyFont="1" applyNumberFormat="1">
      <alignment shrinkToFit="0" vertical="bottom" wrapText="0"/>
    </xf>
    <xf borderId="0" fillId="5" fontId="4" numFmtId="4" xfId="0" applyAlignment="1" applyFont="1" applyNumberFormat="1">
      <alignment horizontal="center" shrinkToFit="0" vertical="bottom" wrapText="0"/>
    </xf>
    <xf borderId="13" fillId="2" fontId="10" numFmtId="4" xfId="0" applyAlignment="1" applyBorder="1" applyFont="1" applyNumberFormat="1">
      <alignment shrinkToFit="0" vertical="bottom" wrapText="0"/>
    </xf>
    <xf borderId="1" fillId="5" fontId="4" numFmtId="4" xfId="0" applyAlignment="1" applyBorder="1" applyFont="1" applyNumberFormat="1">
      <alignment horizontal="center" shrinkToFit="0" vertical="bottom" wrapText="0"/>
    </xf>
    <xf borderId="1" fillId="8" fontId="4" numFmtId="4" xfId="0" applyAlignment="1" applyBorder="1" applyFont="1" applyNumberFormat="1">
      <alignment horizontal="center" shrinkToFit="0" vertical="bottom" wrapText="0"/>
    </xf>
    <xf borderId="1" fillId="2" fontId="14" numFmtId="0" xfId="0" applyAlignment="1" applyBorder="1" applyFont="1">
      <alignment shrinkToFit="0" vertical="bottom" wrapText="0"/>
    </xf>
    <xf borderId="15" fillId="2" fontId="2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5" fontId="15" numFmtId="0" xfId="0" applyAlignment="1" applyBorder="1" applyFont="1">
      <alignment shrinkToFit="0" vertical="bottom" wrapText="0"/>
    </xf>
    <xf borderId="1" fillId="5" fontId="12" numFmtId="0" xfId="0" applyAlignment="1" applyBorder="1" applyFont="1">
      <alignment shrinkToFit="0" vertical="bottom" wrapText="0"/>
    </xf>
    <xf borderId="1" fillId="2" fontId="4" numFmtId="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0"/>
    <col customWidth="1" min="3" max="3" width="18.0"/>
    <col customWidth="1" min="4" max="4" width="15.0"/>
    <col customWidth="1" min="5" max="5" width="18.0"/>
    <col customWidth="1" min="6" max="7" width="15.0"/>
    <col customWidth="1" min="8" max="8" width="19.25"/>
    <col customWidth="1" min="9" max="9" width="17.5"/>
    <col customWidth="1" min="10" max="10" width="25.88"/>
    <col customWidth="1" min="11" max="11" width="34.88"/>
    <col customWidth="1" min="12" max="12" width="23.13"/>
    <col customWidth="1" min="13" max="13" width="34.88"/>
    <col customWidth="1" min="14" max="14" width="27.25"/>
    <col customWidth="1" min="18" max="18" width="17.5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R1" s="2"/>
    </row>
    <row r="2" ht="15.7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R2" s="2"/>
    </row>
    <row r="3" ht="19.5" customHeight="1">
      <c r="A3" s="4" t="s">
        <v>1</v>
      </c>
      <c r="B3" s="2"/>
      <c r="C3" s="5" t="s">
        <v>2</v>
      </c>
      <c r="D3" s="2"/>
      <c r="E3" s="5" t="s">
        <v>3</v>
      </c>
      <c r="F3" s="2"/>
      <c r="G3" s="6" t="s">
        <v>4</v>
      </c>
      <c r="H3" s="3"/>
      <c r="I3" s="7" t="s">
        <v>5</v>
      </c>
      <c r="J3" s="8"/>
      <c r="K3" s="6" t="s">
        <v>6</v>
      </c>
      <c r="L3" s="3"/>
      <c r="M3" s="2"/>
      <c r="N3" s="2"/>
      <c r="R3" s="2"/>
    </row>
    <row r="4" ht="18.0" customHeight="1">
      <c r="A4" s="9" t="s">
        <v>7</v>
      </c>
      <c r="B4" s="9" t="s">
        <v>8</v>
      </c>
      <c r="C4" s="9" t="s">
        <v>7</v>
      </c>
      <c r="D4" s="9" t="s">
        <v>8</v>
      </c>
      <c r="E4" s="9" t="s">
        <v>7</v>
      </c>
      <c r="F4" s="9" t="s">
        <v>8</v>
      </c>
      <c r="G4" s="9" t="s">
        <v>7</v>
      </c>
      <c r="H4" s="10" t="s">
        <v>8</v>
      </c>
      <c r="I4" s="11" t="s">
        <v>7</v>
      </c>
      <c r="J4" s="12" t="s">
        <v>8</v>
      </c>
      <c r="K4" s="9" t="s">
        <v>7</v>
      </c>
      <c r="L4" s="10" t="s">
        <v>8</v>
      </c>
      <c r="M4" s="2"/>
      <c r="N4" s="2"/>
      <c r="R4" s="2"/>
    </row>
    <row r="5" ht="15.75" customHeight="1">
      <c r="A5" s="13">
        <v>46127.0</v>
      </c>
      <c r="B5" s="14">
        <v>79500.0</v>
      </c>
      <c r="C5" s="13">
        <v>46127.0</v>
      </c>
      <c r="D5" s="14">
        <v>80400.0</v>
      </c>
      <c r="E5" s="13">
        <v>46127.0</v>
      </c>
      <c r="F5" s="14">
        <v>46300.0</v>
      </c>
      <c r="G5" s="13">
        <v>46127.0</v>
      </c>
      <c r="H5" s="15">
        <v>63431.93</v>
      </c>
      <c r="I5" s="16">
        <v>46127.0</v>
      </c>
      <c r="J5" s="17">
        <v>42000.0</v>
      </c>
      <c r="K5" s="13">
        <v>46127.0</v>
      </c>
      <c r="L5" s="15">
        <v>63000.0</v>
      </c>
      <c r="M5" s="2"/>
      <c r="N5" s="2"/>
      <c r="R5" s="2"/>
    </row>
    <row r="6" ht="15.75" customHeight="1">
      <c r="A6" s="13">
        <v>46157.0</v>
      </c>
      <c r="B6" s="14">
        <v>80400.0</v>
      </c>
      <c r="C6" s="13">
        <v>46157.0</v>
      </c>
      <c r="D6" s="14">
        <v>80400.0</v>
      </c>
      <c r="E6" s="13">
        <v>46157.0</v>
      </c>
      <c r="F6" s="14">
        <v>46000.0</v>
      </c>
      <c r="G6" s="13">
        <v>46157.0</v>
      </c>
      <c r="H6" s="15">
        <v>68341.05</v>
      </c>
      <c r="I6" s="16">
        <v>46157.0</v>
      </c>
      <c r="J6" s="17">
        <v>42000.0</v>
      </c>
      <c r="K6" s="13">
        <v>46157.0</v>
      </c>
      <c r="L6" s="15">
        <v>63000.0</v>
      </c>
      <c r="M6" s="18"/>
      <c r="N6" s="2"/>
      <c r="R6" s="2"/>
    </row>
    <row r="7" ht="15.75" customHeight="1">
      <c r="A7" s="13">
        <v>46188.0</v>
      </c>
      <c r="B7" s="14">
        <v>79400.0</v>
      </c>
      <c r="C7" s="13">
        <v>46188.0</v>
      </c>
      <c r="D7" s="14">
        <v>79400.0</v>
      </c>
      <c r="E7" s="13">
        <v>46188.0</v>
      </c>
      <c r="F7" s="14">
        <v>45600.0</v>
      </c>
      <c r="G7" s="13">
        <v>46188.0</v>
      </c>
      <c r="H7" s="15">
        <v>67613.22</v>
      </c>
      <c r="I7" s="16">
        <v>46188.0</v>
      </c>
      <c r="J7" s="17">
        <v>42000.0</v>
      </c>
      <c r="K7" s="13">
        <v>46188.0</v>
      </c>
      <c r="L7" s="15">
        <v>63000.0</v>
      </c>
      <c r="M7" s="18"/>
      <c r="N7" s="2"/>
      <c r="R7" s="2"/>
    </row>
    <row r="8" ht="15.75" customHeight="1">
      <c r="A8" s="13">
        <v>46218.0</v>
      </c>
      <c r="B8" s="14">
        <v>78600.0</v>
      </c>
      <c r="C8" s="13">
        <v>46218.0</v>
      </c>
      <c r="D8" s="14">
        <v>78700.0</v>
      </c>
      <c r="E8" s="13">
        <v>46218.0</v>
      </c>
      <c r="F8" s="14">
        <v>45000.0</v>
      </c>
      <c r="G8" s="13">
        <v>46218.0</v>
      </c>
      <c r="H8" s="15">
        <v>66827.77</v>
      </c>
      <c r="I8" s="16">
        <v>46218.0</v>
      </c>
      <c r="J8" s="17">
        <v>42000.0</v>
      </c>
      <c r="K8" s="13">
        <v>46218.0</v>
      </c>
      <c r="L8" s="15">
        <v>63000.0</v>
      </c>
      <c r="M8" s="18"/>
      <c r="N8" s="2"/>
      <c r="R8" s="2"/>
    </row>
    <row r="9" ht="15.75" customHeight="1">
      <c r="A9" s="13">
        <v>46249.0</v>
      </c>
      <c r="B9" s="14">
        <v>77600.0</v>
      </c>
      <c r="C9" s="13">
        <v>46249.0</v>
      </c>
      <c r="D9" s="14">
        <v>77700.0</v>
      </c>
      <c r="E9" s="13">
        <v>46249.0</v>
      </c>
      <c r="F9" s="14">
        <v>45000.0</v>
      </c>
      <c r="G9" s="13">
        <v>46249.0</v>
      </c>
      <c r="H9" s="15">
        <v>65980.14</v>
      </c>
      <c r="I9" s="16">
        <v>46249.0</v>
      </c>
      <c r="J9" s="17">
        <v>42000.0</v>
      </c>
      <c r="K9" s="13">
        <v>46249.0</v>
      </c>
      <c r="L9" s="15">
        <v>63000.0</v>
      </c>
      <c r="M9" s="18"/>
      <c r="N9" s="2"/>
      <c r="R9" s="2"/>
    </row>
    <row r="10" ht="15.75" customHeight="1">
      <c r="A10" s="13">
        <v>46280.0</v>
      </c>
      <c r="B10" s="14">
        <v>76500.0</v>
      </c>
      <c r="C10" s="13">
        <v>46280.0</v>
      </c>
      <c r="D10" s="14">
        <v>76600.0</v>
      </c>
      <c r="E10" s="13">
        <v>46280.0</v>
      </c>
      <c r="F10" s="14">
        <v>45000.0</v>
      </c>
      <c r="G10" s="13">
        <v>46280.0</v>
      </c>
      <c r="H10" s="15">
        <v>65065.36</v>
      </c>
      <c r="I10" s="16">
        <v>46280.0</v>
      </c>
      <c r="J10" s="17">
        <v>42000.0</v>
      </c>
      <c r="K10" s="13">
        <v>46280.0</v>
      </c>
      <c r="L10" s="15">
        <v>63000.0</v>
      </c>
      <c r="M10" s="18"/>
      <c r="N10" s="2"/>
      <c r="R10" s="2"/>
    </row>
    <row r="11" ht="15.75" customHeight="1">
      <c r="I11" s="19">
        <v>46310.0</v>
      </c>
      <c r="J11" s="17">
        <v>42000.0</v>
      </c>
    </row>
    <row r="12" ht="15.75" customHeight="1">
      <c r="I12" s="19">
        <v>46341.0</v>
      </c>
      <c r="J12" s="17">
        <v>42000.0</v>
      </c>
    </row>
    <row r="13" ht="24.75" customHeight="1">
      <c r="I13" s="19">
        <v>46371.0</v>
      </c>
      <c r="J13" s="17">
        <v>42000.0</v>
      </c>
    </row>
    <row r="14" ht="15.75" customHeight="1">
      <c r="I14" s="19">
        <v>46402.0</v>
      </c>
      <c r="J14" s="17">
        <v>42000.0</v>
      </c>
    </row>
    <row r="15" ht="19.5" customHeight="1">
      <c r="I15" s="19">
        <v>46433.0</v>
      </c>
      <c r="J15" s="17">
        <v>42000.0</v>
      </c>
    </row>
    <row r="16" ht="18.0" customHeight="1">
      <c r="I16" s="19">
        <v>46461.0</v>
      </c>
      <c r="J16" s="17">
        <v>42000.0</v>
      </c>
    </row>
    <row r="17" ht="15.75" customHeight="1">
      <c r="A17" s="13" t="s">
        <v>9</v>
      </c>
      <c r="B17" s="20">
        <v>0.0</v>
      </c>
      <c r="C17" s="21"/>
      <c r="D17" s="20">
        <v>0.0</v>
      </c>
      <c r="E17" s="21"/>
      <c r="F17" s="20">
        <v>0.0</v>
      </c>
      <c r="G17" s="13"/>
      <c r="H17" s="20">
        <v>0.0</v>
      </c>
      <c r="I17" s="22"/>
      <c r="J17" s="23">
        <v>0.0</v>
      </c>
      <c r="L17" s="24">
        <v>0.0</v>
      </c>
      <c r="M17" s="2"/>
      <c r="N17" s="2"/>
      <c r="R17" s="2"/>
    </row>
    <row r="18" ht="15.75" customHeight="1">
      <c r="A18" s="13" t="s">
        <v>10</v>
      </c>
      <c r="B18" s="20">
        <v>0.0</v>
      </c>
      <c r="C18" s="25"/>
      <c r="D18" s="20">
        <v>0.0</v>
      </c>
      <c r="E18" s="25"/>
      <c r="F18" s="20">
        <v>0.0</v>
      </c>
      <c r="G18" s="20">
        <v>0.0</v>
      </c>
      <c r="H18" s="21">
        <v>25.0</v>
      </c>
      <c r="I18" s="2"/>
      <c r="J18" s="2"/>
      <c r="K18" s="26"/>
      <c r="L18" s="27"/>
      <c r="M18" s="2"/>
      <c r="N18" s="2"/>
      <c r="R18" s="2"/>
    </row>
    <row r="19" ht="15.75" customHeight="1">
      <c r="A19" s="28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6"/>
      <c r="L19" s="27"/>
      <c r="M19" s="2"/>
      <c r="N19" s="2"/>
      <c r="R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9"/>
      <c r="L20" s="2"/>
      <c r="M20" s="2"/>
      <c r="N20" s="2"/>
      <c r="R20" s="2"/>
    </row>
    <row r="21" ht="15.75" customHeight="1">
      <c r="A21" s="5" t="s">
        <v>1</v>
      </c>
      <c r="B21" s="2"/>
      <c r="C21" s="2"/>
      <c r="D21" s="2"/>
      <c r="E21" s="2"/>
      <c r="F21" s="2"/>
      <c r="G21" s="2"/>
      <c r="H21" s="2"/>
      <c r="I21" s="2"/>
      <c r="J21" s="2"/>
      <c r="K21" s="30"/>
      <c r="L21" s="31"/>
      <c r="M21" s="2"/>
      <c r="N21" s="2"/>
      <c r="R21" s="2"/>
    </row>
    <row r="22" ht="15.75" customHeight="1">
      <c r="A22" s="9" t="s">
        <v>7</v>
      </c>
      <c r="B22" s="9" t="s">
        <v>8</v>
      </c>
      <c r="C22" s="32" t="s">
        <v>9</v>
      </c>
      <c r="D22" s="2"/>
      <c r="E22" s="2"/>
      <c r="F22" s="2"/>
      <c r="G22" s="2"/>
      <c r="H22" s="2"/>
      <c r="I22" s="2"/>
      <c r="J22" s="2"/>
      <c r="K22" s="33"/>
      <c r="L22" s="34"/>
      <c r="M22" s="2"/>
      <c r="N22" s="2"/>
      <c r="R22" s="2"/>
    </row>
    <row r="23" ht="15.75" customHeight="1">
      <c r="A23" s="35">
        <v>46127.0</v>
      </c>
      <c r="B23" s="36">
        <v>77000.0</v>
      </c>
      <c r="C23" s="37">
        <f t="shared" ref="C23:C28" si="1">B23</f>
        <v>77000</v>
      </c>
      <c r="D23" s="38"/>
      <c r="E23" s="38"/>
      <c r="F23" s="38"/>
      <c r="G23" s="2"/>
      <c r="H23" s="38"/>
      <c r="I23" s="2"/>
      <c r="J23" s="2"/>
      <c r="K23" s="33"/>
      <c r="L23" s="39">
        <v>45931.0</v>
      </c>
      <c r="M23" s="18">
        <f>SUM(I59,O83)</f>
        <v>0</v>
      </c>
      <c r="N23" s="40"/>
      <c r="R23" s="2"/>
    </row>
    <row r="24" ht="15.75" customHeight="1">
      <c r="A24" s="41">
        <v>46157.0</v>
      </c>
      <c r="B24" s="25">
        <v>77000.0</v>
      </c>
      <c r="C24" s="42">
        <f t="shared" si="1"/>
        <v>77000</v>
      </c>
      <c r="D24" s="38"/>
      <c r="E24" s="29"/>
      <c r="F24" s="38"/>
      <c r="G24" s="2"/>
      <c r="H24" s="38"/>
      <c r="I24" s="2"/>
      <c r="J24" s="2"/>
      <c r="K24" s="33"/>
      <c r="L24" s="39">
        <v>45962.0</v>
      </c>
      <c r="M24" s="18">
        <v>0.0</v>
      </c>
      <c r="N24" s="43"/>
      <c r="Q24" s="18"/>
      <c r="R24" s="18"/>
    </row>
    <row r="25" ht="15.75" customHeight="1">
      <c r="A25" s="13">
        <v>46188.0</v>
      </c>
      <c r="B25" s="25">
        <v>77000.0</v>
      </c>
      <c r="C25" s="44">
        <f t="shared" si="1"/>
        <v>77000</v>
      </c>
      <c r="D25" s="30"/>
      <c r="E25" s="30"/>
      <c r="F25" s="30"/>
      <c r="G25" s="2"/>
      <c r="H25" s="38"/>
      <c r="I25" s="2"/>
      <c r="J25" s="2"/>
      <c r="K25" s="33"/>
      <c r="L25" s="39">
        <v>45992.0</v>
      </c>
      <c r="M25" s="18">
        <v>0.0</v>
      </c>
      <c r="N25" s="2"/>
      <c r="Q25" s="18"/>
      <c r="R25" s="18"/>
    </row>
    <row r="26" ht="15.75" customHeight="1">
      <c r="A26" s="13">
        <v>46218.0</v>
      </c>
      <c r="B26" s="25">
        <v>77000.0</v>
      </c>
      <c r="C26" s="44">
        <f t="shared" si="1"/>
        <v>77000</v>
      </c>
      <c r="D26" s="45"/>
      <c r="E26" s="33"/>
      <c r="F26" s="45"/>
      <c r="G26" s="2"/>
      <c r="H26" s="38"/>
      <c r="I26" s="2"/>
      <c r="J26" s="2"/>
      <c r="K26" s="33"/>
      <c r="L26" s="39">
        <v>46023.0</v>
      </c>
      <c r="M26" s="18">
        <v>0.0</v>
      </c>
      <c r="N26" s="2"/>
      <c r="Q26" s="18"/>
      <c r="R26" s="18"/>
    </row>
    <row r="27" ht="15.75" customHeight="1">
      <c r="A27" s="13">
        <v>46249.0</v>
      </c>
      <c r="B27" s="25">
        <v>77000.0</v>
      </c>
      <c r="C27" s="44">
        <f t="shared" si="1"/>
        <v>77000</v>
      </c>
      <c r="D27" s="45"/>
      <c r="E27" s="33"/>
      <c r="F27" s="45"/>
      <c r="G27" s="2"/>
      <c r="H27" s="38"/>
      <c r="I27" s="2"/>
      <c r="J27" s="2"/>
      <c r="K27" s="33"/>
      <c r="L27" s="39">
        <v>46054.0</v>
      </c>
      <c r="M27" s="18">
        <v>0.0</v>
      </c>
      <c r="N27" s="2"/>
      <c r="Q27" s="18"/>
      <c r="R27" s="18"/>
    </row>
    <row r="28" ht="15.75" customHeight="1">
      <c r="A28" s="46">
        <v>46280.0</v>
      </c>
      <c r="B28" s="47">
        <v>77000.0</v>
      </c>
      <c r="C28" s="48">
        <f t="shared" si="1"/>
        <v>77000</v>
      </c>
      <c r="D28" s="45"/>
      <c r="E28" s="33"/>
      <c r="F28" s="45"/>
      <c r="G28" s="2"/>
      <c r="H28" s="38"/>
      <c r="I28" s="2"/>
      <c r="J28" s="2"/>
      <c r="K28" s="2"/>
      <c r="L28" s="39">
        <v>46082.0</v>
      </c>
      <c r="M28" s="18">
        <v>0.0</v>
      </c>
      <c r="N28" s="2">
        <v>0.0</v>
      </c>
      <c r="R28" s="18"/>
    </row>
    <row r="29" ht="15.75" customHeight="1">
      <c r="A29" s="33"/>
      <c r="B29" s="45"/>
      <c r="C29" s="33"/>
      <c r="D29" s="45"/>
      <c r="E29" s="33"/>
      <c r="F29" s="45"/>
      <c r="G29" s="2"/>
      <c r="H29" s="38"/>
      <c r="I29" s="2"/>
      <c r="J29" s="2"/>
      <c r="K29" s="2"/>
      <c r="L29" s="39">
        <v>46113.0</v>
      </c>
      <c r="M29" s="18">
        <f>SUM(B18,C23,I65,O89)</f>
        <v>400689.2</v>
      </c>
      <c r="N29" s="2"/>
      <c r="R29" s="2"/>
    </row>
    <row r="30" ht="15.75" customHeight="1">
      <c r="A30" s="33" t="s">
        <v>12</v>
      </c>
      <c r="B30" s="45"/>
      <c r="C30" s="33"/>
      <c r="D30" s="45"/>
      <c r="E30" s="33"/>
      <c r="F30" s="45"/>
      <c r="G30" s="2"/>
      <c r="H30" s="38"/>
      <c r="I30" s="2"/>
      <c r="J30" s="2"/>
      <c r="K30" s="2"/>
      <c r="L30" s="39">
        <v>46143.0</v>
      </c>
      <c r="M30" s="18">
        <f>SUM(B18,C23,I65,O89)</f>
        <v>400689.2</v>
      </c>
      <c r="N30" s="2"/>
      <c r="R30" s="2"/>
    </row>
    <row r="31" ht="15.75" customHeight="1">
      <c r="A31" s="49"/>
      <c r="B31" s="30"/>
      <c r="C31" s="30"/>
      <c r="D31" s="30"/>
      <c r="E31" s="30"/>
      <c r="F31" s="30"/>
      <c r="G31" s="30"/>
      <c r="H31" s="30"/>
      <c r="I31" s="30"/>
      <c r="J31" s="30"/>
      <c r="K31" s="2"/>
      <c r="L31" s="39">
        <v>46174.0</v>
      </c>
      <c r="M31" s="18">
        <f t="shared" ref="M31:M34" si="2">SUM(B18,C23,I65,O89)</f>
        <v>400689.2</v>
      </c>
      <c r="N31" s="50"/>
      <c r="R31" s="2"/>
    </row>
    <row r="32" ht="15.75" customHeight="1">
      <c r="A32" s="51"/>
      <c r="B32" s="52"/>
      <c r="C32" s="52"/>
      <c r="D32" s="52"/>
      <c r="E32" s="52"/>
      <c r="F32" s="52"/>
      <c r="G32" s="52"/>
      <c r="H32" s="52"/>
      <c r="I32" s="52"/>
      <c r="J32" s="52"/>
      <c r="K32" s="2"/>
      <c r="L32" s="39">
        <v>46204.0</v>
      </c>
      <c r="M32" s="18">
        <f t="shared" si="2"/>
        <v>400689.2</v>
      </c>
      <c r="N32" s="50"/>
      <c r="P32" s="53"/>
      <c r="R32" s="2"/>
    </row>
    <row r="33" ht="15.75" customHeight="1">
      <c r="A33" s="54"/>
      <c r="B33" s="52"/>
      <c r="C33" s="55"/>
      <c r="D33" s="52"/>
      <c r="E33" s="55"/>
      <c r="F33" s="52"/>
      <c r="G33" s="55"/>
      <c r="H33" s="55"/>
      <c r="I33" s="55"/>
      <c r="J33" s="55"/>
      <c r="K33" s="2"/>
      <c r="L33" s="39">
        <v>46235.0</v>
      </c>
      <c r="M33" s="18">
        <f t="shared" si="2"/>
        <v>400689.2</v>
      </c>
      <c r="N33" s="50"/>
      <c r="P33" s="53"/>
      <c r="R33" s="2"/>
    </row>
    <row r="34" ht="15.75" customHeight="1">
      <c r="A34" s="56"/>
      <c r="B34" s="55"/>
      <c r="C34" s="55"/>
      <c r="D34" s="55"/>
      <c r="E34" s="55"/>
      <c r="F34" s="55"/>
      <c r="G34" s="55"/>
      <c r="H34" s="55"/>
      <c r="I34" s="55"/>
      <c r="J34" s="55"/>
      <c r="K34" s="2"/>
      <c r="L34" s="39">
        <v>46266.0</v>
      </c>
      <c r="M34" s="18">
        <f t="shared" si="2"/>
        <v>400689.2</v>
      </c>
      <c r="N34" s="50"/>
      <c r="P34" s="53"/>
      <c r="R34" s="2"/>
    </row>
    <row r="35" ht="15.75" customHeight="1">
      <c r="A35" s="33"/>
      <c r="B35" s="55"/>
      <c r="C35" s="55"/>
      <c r="D35" s="55"/>
      <c r="E35" s="55"/>
      <c r="F35" s="55"/>
      <c r="G35" s="55"/>
      <c r="H35" s="55"/>
      <c r="I35" s="55"/>
      <c r="J35" s="55"/>
      <c r="K35" s="2"/>
      <c r="L35" s="39">
        <v>46296.0</v>
      </c>
      <c r="M35" s="18">
        <f>SUM(J11,O95)</f>
        <v>156460.76</v>
      </c>
      <c r="N35" s="50"/>
      <c r="P35" s="53"/>
      <c r="R35" s="2"/>
    </row>
    <row r="36" ht="15.75" customHeight="1">
      <c r="A36" s="33"/>
      <c r="B36" s="55"/>
      <c r="C36" s="55"/>
      <c r="D36" s="55"/>
      <c r="E36" s="55"/>
      <c r="F36" s="55"/>
      <c r="G36" s="55"/>
      <c r="H36" s="55"/>
      <c r="I36" s="55"/>
      <c r="J36" s="55"/>
      <c r="K36" s="2"/>
      <c r="L36" s="39">
        <v>46327.0</v>
      </c>
      <c r="M36" s="18">
        <f>SUM(J11,O95)</f>
        <v>156460.76</v>
      </c>
      <c r="N36" s="50"/>
      <c r="P36" s="53"/>
      <c r="R36" s="2"/>
    </row>
    <row r="37" ht="15.75" customHeight="1">
      <c r="A37" s="33"/>
      <c r="B37" s="55"/>
      <c r="C37" s="55"/>
      <c r="D37" s="55"/>
      <c r="E37" s="55"/>
      <c r="F37" s="55"/>
      <c r="G37" s="55"/>
      <c r="H37" s="55"/>
      <c r="I37" s="55"/>
      <c r="J37" s="55"/>
      <c r="K37" s="2"/>
      <c r="L37" s="39">
        <v>46357.0</v>
      </c>
      <c r="M37" s="18">
        <f>SUM(J11,O95)</f>
        <v>156460.76</v>
      </c>
      <c r="N37" s="2"/>
      <c r="P37" s="53"/>
      <c r="R37" s="2"/>
    </row>
    <row r="38" ht="15.75" customHeight="1">
      <c r="A38" s="57"/>
      <c r="B38" s="58"/>
      <c r="C38" s="57"/>
      <c r="D38" s="58"/>
      <c r="E38" s="57"/>
      <c r="F38" s="58"/>
      <c r="G38" s="57"/>
      <c r="H38" s="58"/>
      <c r="I38" s="59"/>
      <c r="J38" s="2"/>
      <c r="K38" s="2"/>
      <c r="L38" s="39">
        <v>46388.0</v>
      </c>
      <c r="M38" s="18">
        <f>SUM(J11,O95)</f>
        <v>156460.76</v>
      </c>
      <c r="N38" s="2"/>
      <c r="P38" s="53"/>
      <c r="R38" s="2"/>
    </row>
    <row r="39" ht="15.75" customHeight="1">
      <c r="A39" s="57"/>
      <c r="B39" s="58"/>
      <c r="C39" s="57"/>
      <c r="D39" s="58"/>
      <c r="E39" s="57"/>
      <c r="F39" s="58"/>
      <c r="G39" s="57"/>
      <c r="H39" s="58"/>
      <c r="I39" s="59"/>
      <c r="J39" s="2"/>
      <c r="K39" s="2"/>
      <c r="L39" s="39">
        <v>46419.0</v>
      </c>
      <c r="M39" s="18">
        <f>SUM(J11,O95)</f>
        <v>156460.76</v>
      </c>
      <c r="N39" s="2"/>
      <c r="R39" s="2"/>
    </row>
    <row r="40" ht="15.75" customHeight="1">
      <c r="A40" s="57"/>
      <c r="B40" s="58"/>
      <c r="C40" s="57"/>
      <c r="D40" s="58"/>
      <c r="E40" s="57"/>
      <c r="F40" s="58"/>
      <c r="G40" s="57"/>
      <c r="H40" s="58"/>
      <c r="I40" s="59"/>
      <c r="J40" s="2"/>
      <c r="K40" s="2"/>
      <c r="L40" s="39">
        <v>46447.0</v>
      </c>
      <c r="M40" s="60">
        <f>SUM(J11,O95)</f>
        <v>156460.76</v>
      </c>
      <c r="N40" s="2"/>
      <c r="R40" s="2"/>
    </row>
    <row r="41" ht="15.75" customHeight="1">
      <c r="A41" s="57"/>
      <c r="B41" s="58"/>
      <c r="C41" s="57"/>
      <c r="D41" s="58"/>
      <c r="E41" s="57"/>
      <c r="F41" s="58"/>
      <c r="G41" s="57"/>
      <c r="H41" s="58"/>
      <c r="I41" s="59"/>
      <c r="J41" s="2"/>
      <c r="K41" s="2"/>
      <c r="L41" s="39">
        <v>46478.0</v>
      </c>
      <c r="M41" s="60">
        <f t="shared" ref="M41:M49" si="3">SUM(O101)</f>
        <v>114460.76</v>
      </c>
      <c r="N41" s="2"/>
      <c r="R41" s="2"/>
    </row>
    <row r="42" ht="15.75" customHeight="1">
      <c r="A42" s="57"/>
      <c r="B42" s="58"/>
      <c r="C42" s="57"/>
      <c r="D42" s="58"/>
      <c r="E42" s="57"/>
      <c r="F42" s="58"/>
      <c r="G42" s="57"/>
      <c r="H42" s="58"/>
      <c r="I42" s="59"/>
      <c r="J42" s="2"/>
      <c r="K42" s="2"/>
      <c r="L42" s="39">
        <v>46508.0</v>
      </c>
      <c r="M42" s="60">
        <f t="shared" si="3"/>
        <v>113460.69</v>
      </c>
      <c r="N42" s="2"/>
      <c r="R42" s="2"/>
    </row>
    <row r="43" ht="15.75" customHeight="1">
      <c r="A43" s="57"/>
      <c r="B43" s="58"/>
      <c r="C43" s="57"/>
      <c r="D43" s="58"/>
      <c r="E43" s="57"/>
      <c r="F43" s="58"/>
      <c r="G43" s="57"/>
      <c r="H43" s="58"/>
      <c r="I43" s="59"/>
      <c r="J43" s="2"/>
      <c r="K43" s="2"/>
      <c r="L43" s="39">
        <v>46539.0</v>
      </c>
      <c r="M43" s="60">
        <f t="shared" si="3"/>
        <v>112460.59</v>
      </c>
      <c r="N43" s="2"/>
      <c r="R43" s="2"/>
    </row>
    <row r="44" ht="15.75" customHeight="1">
      <c r="A44" s="57"/>
      <c r="B44" s="58"/>
      <c r="C44" s="57"/>
      <c r="D44" s="58"/>
      <c r="E44" s="57"/>
      <c r="F44" s="58"/>
      <c r="G44" s="57"/>
      <c r="H44" s="58"/>
      <c r="I44" s="59"/>
      <c r="J44" s="2"/>
      <c r="K44" s="2"/>
      <c r="L44" s="39">
        <v>46569.0</v>
      </c>
      <c r="M44" s="60">
        <f t="shared" si="3"/>
        <v>112460.59</v>
      </c>
      <c r="N44" s="2"/>
      <c r="R44" s="2"/>
    </row>
    <row r="45" ht="15.75" customHeight="1">
      <c r="A45" s="33"/>
      <c r="B45" s="45"/>
      <c r="C45" s="33"/>
      <c r="D45" s="45"/>
      <c r="E45" s="33"/>
      <c r="F45" s="45"/>
      <c r="G45" s="33"/>
      <c r="H45" s="45"/>
      <c r="I45" s="59"/>
      <c r="J45" s="2"/>
      <c r="K45" s="2"/>
      <c r="L45" s="39">
        <v>46600.0</v>
      </c>
      <c r="M45" s="60">
        <f t="shared" si="3"/>
        <v>112460.59</v>
      </c>
      <c r="N45" s="2"/>
      <c r="R45" s="2"/>
    </row>
    <row r="46" ht="15.75" customHeight="1">
      <c r="A46" s="33"/>
      <c r="B46" s="45"/>
      <c r="C46" s="33"/>
      <c r="D46" s="45"/>
      <c r="E46" s="33"/>
      <c r="F46" s="45"/>
      <c r="G46" s="33"/>
      <c r="H46" s="45"/>
      <c r="I46" s="59"/>
      <c r="J46" s="2"/>
      <c r="K46" s="2"/>
      <c r="L46" s="39">
        <v>46631.0</v>
      </c>
      <c r="M46" s="60">
        <f t="shared" si="3"/>
        <v>112460.59</v>
      </c>
      <c r="N46" s="2"/>
      <c r="R46" s="2"/>
    </row>
    <row r="47" ht="15.75" customHeight="1">
      <c r="A47" s="61"/>
      <c r="B47" s="61"/>
      <c r="C47" s="33"/>
      <c r="D47" s="45"/>
      <c r="E47" s="33"/>
      <c r="F47" s="45"/>
      <c r="G47" s="33"/>
      <c r="H47" s="45"/>
      <c r="I47" s="59"/>
      <c r="J47" s="2"/>
      <c r="K47" s="2"/>
      <c r="L47" s="39">
        <v>46661.0</v>
      </c>
      <c r="M47" s="60">
        <f t="shared" si="3"/>
        <v>112460.59</v>
      </c>
      <c r="N47" s="2"/>
      <c r="R47" s="2"/>
    </row>
    <row r="48" ht="24.75" customHeight="1">
      <c r="A48" s="33"/>
      <c r="B48" s="45"/>
      <c r="C48" s="33"/>
      <c r="D48" s="45"/>
      <c r="E48" s="18"/>
      <c r="F48" s="2"/>
      <c r="G48" s="2"/>
      <c r="H48" s="38"/>
      <c r="I48" s="2"/>
      <c r="J48" s="2"/>
      <c r="K48" s="2"/>
      <c r="L48" s="39">
        <v>46692.0</v>
      </c>
      <c r="M48" s="60">
        <f t="shared" si="3"/>
        <v>78760</v>
      </c>
      <c r="N48" s="2"/>
      <c r="R48" s="2"/>
    </row>
    <row r="49" ht="15.75" customHeight="1">
      <c r="A49" s="33"/>
      <c r="B49" s="45"/>
      <c r="C49" s="33"/>
      <c r="D49" s="45"/>
      <c r="E49" s="18"/>
      <c r="F49" s="2"/>
      <c r="G49" s="2"/>
      <c r="H49" s="38"/>
      <c r="I49" s="2"/>
      <c r="J49" s="2"/>
      <c r="K49" s="2"/>
      <c r="L49" s="39">
        <v>46722.0</v>
      </c>
      <c r="M49" s="60">
        <f t="shared" si="3"/>
        <v>78760</v>
      </c>
      <c r="N49" s="2"/>
      <c r="R49" s="2"/>
    </row>
    <row r="50" ht="15.75" customHeight="1">
      <c r="A50" s="33"/>
      <c r="B50" s="45"/>
      <c r="C50" s="33"/>
      <c r="D50" s="45"/>
      <c r="E50" s="18"/>
      <c r="F50" s="2"/>
      <c r="G50" s="2"/>
      <c r="H50" s="38"/>
      <c r="I50" s="2"/>
      <c r="J50" s="2"/>
      <c r="K50" s="2"/>
      <c r="L50" s="2"/>
      <c r="M50" s="2"/>
      <c r="N50" s="2"/>
      <c r="R50" s="2"/>
    </row>
    <row r="51" ht="15.75" customHeight="1">
      <c r="A51" s="33"/>
      <c r="B51" s="45"/>
      <c r="C51" s="33"/>
      <c r="D51" s="45"/>
      <c r="E51" s="18"/>
      <c r="F51" s="2"/>
      <c r="G51" s="2"/>
      <c r="H51" s="38"/>
      <c r="I51" s="2"/>
      <c r="J51" s="2"/>
      <c r="K51" s="2"/>
      <c r="L51" s="2"/>
      <c r="M51" s="2"/>
      <c r="N51" s="2"/>
      <c r="R51" s="2"/>
    </row>
    <row r="52" ht="15.75" customHeight="1">
      <c r="A52" s="2"/>
      <c r="B52" s="2"/>
      <c r="C52" s="2"/>
      <c r="D52" s="2"/>
      <c r="E52" s="2"/>
      <c r="F52" s="2"/>
      <c r="G52" s="2"/>
      <c r="H52" s="38"/>
      <c r="I52" s="2"/>
      <c r="J52" s="2"/>
      <c r="K52" s="2"/>
      <c r="L52" s="2"/>
      <c r="M52" s="2"/>
      <c r="N52" s="2"/>
      <c r="R52" s="2"/>
    </row>
    <row r="53" ht="15.75" customHeight="1">
      <c r="A53" s="2"/>
      <c r="B53" s="2"/>
      <c r="C53" s="2"/>
      <c r="D53" s="2"/>
      <c r="E53" s="2"/>
      <c r="F53" s="2"/>
      <c r="G53" s="2"/>
      <c r="H53" s="38"/>
      <c r="I53" s="2"/>
      <c r="J53" s="2"/>
      <c r="K53" s="2"/>
      <c r="L53" s="2"/>
      <c r="M53" s="2"/>
      <c r="N53" s="2"/>
      <c r="R53" s="2"/>
    </row>
    <row r="54" ht="15.75" customHeight="1">
      <c r="A54" s="1" t="s">
        <v>13</v>
      </c>
      <c r="B54" s="2"/>
      <c r="C54" s="2"/>
      <c r="D54" s="2"/>
      <c r="E54" s="2"/>
      <c r="F54" s="2"/>
      <c r="G54" s="2"/>
      <c r="H54" s="38"/>
      <c r="I54" s="62"/>
      <c r="J54" s="26"/>
      <c r="K54" s="2"/>
      <c r="L54" s="2"/>
      <c r="M54" s="2"/>
      <c r="N54" s="2"/>
      <c r="R54" s="2"/>
    </row>
    <row r="55" ht="15.75" customHeight="1">
      <c r="A55" s="2"/>
      <c r="B55" s="2"/>
      <c r="C55" s="2"/>
      <c r="D55" s="2"/>
      <c r="E55" s="2"/>
      <c r="F55" s="2"/>
      <c r="G55" s="2"/>
      <c r="H55" s="38"/>
      <c r="I55" s="63"/>
      <c r="J55" s="26"/>
      <c r="K55" s="2"/>
      <c r="L55" s="2"/>
      <c r="M55" s="2"/>
      <c r="N55" s="2"/>
      <c r="R55" s="2"/>
    </row>
    <row r="56" ht="15.75" customHeight="1">
      <c r="A56" s="64" t="s">
        <v>1</v>
      </c>
      <c r="B56" s="2"/>
      <c r="C56" s="64" t="s">
        <v>2</v>
      </c>
      <c r="D56" s="2"/>
      <c r="E56" s="64" t="s">
        <v>3</v>
      </c>
      <c r="F56" s="2"/>
      <c r="G56" s="65" t="s">
        <v>4</v>
      </c>
      <c r="H56" s="38"/>
      <c r="I56" s="66"/>
      <c r="J56" s="2"/>
      <c r="K56" s="2"/>
      <c r="L56" s="2"/>
      <c r="M56" s="2"/>
      <c r="N56" s="2"/>
      <c r="R56" s="2"/>
    </row>
    <row r="57" ht="15.75" customHeight="1">
      <c r="A57" s="67" t="s">
        <v>7</v>
      </c>
      <c r="B57" s="67" t="s">
        <v>8</v>
      </c>
      <c r="C57" s="67" t="s">
        <v>7</v>
      </c>
      <c r="D57" s="67" t="s">
        <v>8</v>
      </c>
      <c r="E57" s="67" t="s">
        <v>7</v>
      </c>
      <c r="F57" s="67" t="s">
        <v>8</v>
      </c>
      <c r="G57" s="68" t="s">
        <v>7</v>
      </c>
      <c r="H57" s="69" t="s">
        <v>8</v>
      </c>
      <c r="I57" s="70"/>
      <c r="J57" s="30"/>
      <c r="K57" s="2"/>
      <c r="L57" s="2"/>
      <c r="M57" s="2"/>
      <c r="N57" s="2"/>
      <c r="R57" s="2"/>
    </row>
    <row r="58" ht="15.75" customHeight="1">
      <c r="A58" s="71">
        <v>45902.0</v>
      </c>
      <c r="B58" s="72">
        <v>39493.0</v>
      </c>
      <c r="C58" s="73"/>
      <c r="D58" s="73"/>
      <c r="E58" s="73"/>
      <c r="F58" s="73"/>
      <c r="G58" s="74"/>
      <c r="H58" s="75"/>
      <c r="I58" s="76"/>
      <c r="J58" s="45"/>
      <c r="K58" s="2"/>
      <c r="L58" s="2"/>
      <c r="M58" s="2"/>
      <c r="N58" s="2"/>
      <c r="R58" s="2"/>
    </row>
    <row r="59" ht="15.75" customHeight="1">
      <c r="A59" s="71">
        <v>45943.0</v>
      </c>
      <c r="B59" s="72">
        <v>39493.0</v>
      </c>
      <c r="C59" s="71">
        <v>45943.0</v>
      </c>
      <c r="D59" s="72">
        <v>164493.93</v>
      </c>
      <c r="E59" s="71">
        <v>45943.0</v>
      </c>
      <c r="F59" s="72">
        <v>44734.51</v>
      </c>
      <c r="G59" s="77">
        <v>45943.0</v>
      </c>
      <c r="H59" s="78">
        <v>4601.0</v>
      </c>
      <c r="I59" s="79">
        <f t="shared" ref="I59:I64" si="4">SUM(H53,F53,D53,B53) -  SUM(H53,F53,D53,B53)</f>
        <v>0</v>
      </c>
      <c r="J59" s="45"/>
      <c r="K59" s="2"/>
      <c r="L59" s="2"/>
      <c r="M59" s="2"/>
      <c r="N59" s="2"/>
      <c r="R59" s="2"/>
    </row>
    <row r="60" ht="15.75" customHeight="1">
      <c r="A60" s="71">
        <v>45972.0</v>
      </c>
      <c r="B60" s="72">
        <v>39493.0</v>
      </c>
      <c r="C60" s="71">
        <v>45974.0</v>
      </c>
      <c r="D60" s="72">
        <v>164493.93</v>
      </c>
      <c r="E60" s="71">
        <v>45974.0</v>
      </c>
      <c r="F60" s="72">
        <v>44734.51</v>
      </c>
      <c r="G60" s="77">
        <v>45974.0</v>
      </c>
      <c r="H60" s="78">
        <v>4601.0</v>
      </c>
      <c r="I60" s="79">
        <f t="shared" si="4"/>
        <v>0</v>
      </c>
      <c r="J60" s="45"/>
      <c r="K60" s="2"/>
      <c r="L60" s="2"/>
      <c r="M60" s="2"/>
      <c r="N60" s="2"/>
      <c r="R60" s="2"/>
    </row>
    <row r="61" ht="15.75" customHeight="1">
      <c r="A61" s="71"/>
      <c r="B61" s="80"/>
      <c r="C61" s="71">
        <v>46004.0</v>
      </c>
      <c r="D61" s="72">
        <v>164493.93</v>
      </c>
      <c r="E61" s="71">
        <v>46004.0</v>
      </c>
      <c r="F61" s="72">
        <v>44734.51</v>
      </c>
      <c r="G61" s="77">
        <v>46004.0</v>
      </c>
      <c r="H61" s="78">
        <v>4601.0</v>
      </c>
      <c r="I61" s="79">
        <f t="shared" si="4"/>
        <v>0</v>
      </c>
      <c r="J61" s="45"/>
      <c r="K61" s="2"/>
      <c r="L61" s="2"/>
      <c r="M61" s="2"/>
      <c r="N61" s="2"/>
      <c r="R61" s="2"/>
    </row>
    <row r="62" ht="15.75" customHeight="1">
      <c r="A62" s="71"/>
      <c r="B62" s="80"/>
      <c r="C62" s="71">
        <v>46035.0</v>
      </c>
      <c r="D62" s="72">
        <v>164493.93</v>
      </c>
      <c r="E62" s="71">
        <v>46035.0</v>
      </c>
      <c r="F62" s="72">
        <v>44734.51</v>
      </c>
      <c r="G62" s="77">
        <v>46035.0</v>
      </c>
      <c r="H62" s="78">
        <v>4601.0</v>
      </c>
      <c r="I62" s="79">
        <f t="shared" si="4"/>
        <v>0</v>
      </c>
      <c r="J62" s="45"/>
      <c r="K62" s="2"/>
      <c r="L62" s="2"/>
      <c r="M62" s="2"/>
      <c r="N62" s="2"/>
      <c r="R62" s="2"/>
    </row>
    <row r="63" ht="15.75" customHeight="1">
      <c r="A63" s="71"/>
      <c r="B63" s="80"/>
      <c r="C63" s="71">
        <v>46066.0</v>
      </c>
      <c r="D63" s="72">
        <v>164493.93</v>
      </c>
      <c r="E63" s="71">
        <v>46066.0</v>
      </c>
      <c r="F63" s="72">
        <v>44734.51</v>
      </c>
      <c r="G63" s="77">
        <v>46066.0</v>
      </c>
      <c r="H63" s="78">
        <v>4601.0</v>
      </c>
      <c r="I63" s="79">
        <f t="shared" si="4"/>
        <v>0</v>
      </c>
      <c r="J63" s="45"/>
      <c r="K63" s="2"/>
      <c r="L63" s="2"/>
      <c r="M63" s="2"/>
      <c r="N63" s="2"/>
      <c r="R63" s="2"/>
    </row>
    <row r="64" ht="15.75" customHeight="1">
      <c r="A64" s="71"/>
      <c r="B64" s="80"/>
      <c r="C64" s="71">
        <v>46094.0</v>
      </c>
      <c r="D64" s="72">
        <v>164493.93</v>
      </c>
      <c r="E64" s="71">
        <v>46094.0</v>
      </c>
      <c r="F64" s="72">
        <v>44734.51</v>
      </c>
      <c r="G64" s="77">
        <v>46094.0</v>
      </c>
      <c r="H64" s="78">
        <v>4601.0</v>
      </c>
      <c r="I64" s="79">
        <f t="shared" si="4"/>
        <v>0</v>
      </c>
      <c r="J64" s="45"/>
      <c r="K64" s="2"/>
      <c r="L64" s="2"/>
      <c r="M64" s="2"/>
      <c r="N64" s="2"/>
      <c r="R64" s="2"/>
    </row>
    <row r="65" ht="15.75" customHeight="1">
      <c r="A65" s="71"/>
      <c r="B65" s="80"/>
      <c r="C65" s="71">
        <v>46125.0</v>
      </c>
      <c r="D65" s="72">
        <v>164493.93</v>
      </c>
      <c r="E65" s="71">
        <v>46125.0</v>
      </c>
      <c r="F65" s="72">
        <v>44734.51</v>
      </c>
      <c r="G65" s="77">
        <v>46125.0</v>
      </c>
      <c r="H65" s="78">
        <v>4601.0</v>
      </c>
      <c r="I65" s="79">
        <f>SUM(F59,D59)</f>
        <v>209228.44</v>
      </c>
      <c r="J65" s="45"/>
      <c r="K65" s="2"/>
      <c r="L65" s="2"/>
      <c r="M65" s="2"/>
      <c r="N65" s="2"/>
      <c r="R65" s="2"/>
    </row>
    <row r="66" ht="24.0" customHeight="1">
      <c r="A66" s="71"/>
      <c r="B66" s="80"/>
      <c r="C66" s="71">
        <v>46155.0</v>
      </c>
      <c r="D66" s="81">
        <v>164493.93</v>
      </c>
      <c r="E66" s="71">
        <v>46155.0</v>
      </c>
      <c r="F66" s="81">
        <v>44734.51</v>
      </c>
      <c r="G66" s="77">
        <v>46155.0</v>
      </c>
      <c r="H66" s="78">
        <v>4601.0</v>
      </c>
      <c r="I66" s="79">
        <f>SUM(F59,D59)</f>
        <v>209228.44</v>
      </c>
      <c r="J66" s="45"/>
      <c r="K66" s="2"/>
      <c r="L66" s="2"/>
      <c r="M66" s="2"/>
      <c r="N66" s="2"/>
      <c r="R66" s="2"/>
    </row>
    <row r="67" ht="15.75" customHeight="1">
      <c r="A67" s="71"/>
      <c r="B67" s="80"/>
      <c r="C67" s="71">
        <v>46186.0</v>
      </c>
      <c r="D67" s="81">
        <v>164493.93</v>
      </c>
      <c r="E67" s="71">
        <v>46186.0</v>
      </c>
      <c r="F67" s="81">
        <v>44734.51</v>
      </c>
      <c r="G67" s="77">
        <v>46186.0</v>
      </c>
      <c r="H67" s="78">
        <v>4601.0</v>
      </c>
      <c r="I67" s="79">
        <f>SUM(F59,D59)</f>
        <v>209228.44</v>
      </c>
      <c r="J67" s="45"/>
      <c r="K67" s="2"/>
      <c r="L67" s="2"/>
      <c r="M67" s="2"/>
      <c r="N67" s="2"/>
      <c r="R67" s="2"/>
    </row>
    <row r="68" ht="15.75" customHeight="1">
      <c r="A68" s="71"/>
      <c r="B68" s="80"/>
      <c r="C68" s="71">
        <v>46216.0</v>
      </c>
      <c r="D68" s="81">
        <v>164493.93</v>
      </c>
      <c r="E68" s="71">
        <v>46216.0</v>
      </c>
      <c r="F68" s="81">
        <v>44734.51</v>
      </c>
      <c r="G68" s="77">
        <v>46216.0</v>
      </c>
      <c r="H68" s="78">
        <v>4601.0</v>
      </c>
      <c r="I68" s="79">
        <f>SUM(F59,D59)</f>
        <v>209228.44</v>
      </c>
      <c r="J68" s="45"/>
      <c r="K68" s="2"/>
      <c r="L68" s="2"/>
      <c r="M68" s="2"/>
      <c r="N68" s="2"/>
      <c r="R68" s="2"/>
    </row>
    <row r="69" ht="15.75" customHeight="1">
      <c r="A69" s="71"/>
      <c r="B69" s="80"/>
      <c r="C69" s="71">
        <v>46247.0</v>
      </c>
      <c r="D69" s="81">
        <v>164493.93</v>
      </c>
      <c r="E69" s="71">
        <v>46247.0</v>
      </c>
      <c r="F69" s="81">
        <v>44734.51</v>
      </c>
      <c r="G69" s="77">
        <v>46247.0</v>
      </c>
      <c r="H69" s="78">
        <v>4601.0</v>
      </c>
      <c r="I69" s="79">
        <f>SUM(F59,D59)</f>
        <v>209228.44</v>
      </c>
      <c r="J69" s="45"/>
      <c r="K69" s="2"/>
      <c r="L69" s="2"/>
      <c r="M69" s="2"/>
      <c r="N69" s="2"/>
      <c r="R69" s="2"/>
    </row>
    <row r="70" ht="15.75" customHeight="1">
      <c r="A70" s="73"/>
      <c r="B70" s="73"/>
      <c r="C70" s="71">
        <v>46278.0</v>
      </c>
      <c r="D70" s="81">
        <v>164493.93</v>
      </c>
      <c r="E70" s="71">
        <v>46278.0</v>
      </c>
      <c r="F70" s="81">
        <v>44734.51</v>
      </c>
      <c r="G70" s="77">
        <v>46278.0</v>
      </c>
      <c r="H70" s="78">
        <v>4601.0</v>
      </c>
      <c r="I70" s="79">
        <f>SUM(F59,D59)</f>
        <v>209228.44</v>
      </c>
      <c r="J70" s="2"/>
      <c r="K70" s="2"/>
      <c r="L70" s="2"/>
      <c r="M70" s="2"/>
      <c r="N70" s="2"/>
      <c r="R70" s="2"/>
    </row>
    <row r="71" ht="15.75" customHeight="1">
      <c r="A71" s="2"/>
      <c r="B71" s="2"/>
      <c r="C71" s="2"/>
      <c r="D71" s="2"/>
      <c r="E71" s="82"/>
      <c r="F71" s="2"/>
      <c r="G71" s="2"/>
      <c r="H71" s="83"/>
      <c r="I71" s="2"/>
      <c r="J71" s="2"/>
      <c r="K71" s="2"/>
      <c r="L71" s="2"/>
      <c r="M71" s="2"/>
      <c r="N71" s="2"/>
      <c r="R71" s="2"/>
    </row>
    <row r="72" ht="15.75" customHeight="1">
      <c r="A72" s="84" t="s">
        <v>14</v>
      </c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R72" s="2"/>
    </row>
    <row r="73" ht="15.75" customHeight="1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R73" s="2"/>
    </row>
    <row r="74" ht="15.75" customHeight="1">
      <c r="A74" s="64" t="s">
        <v>1</v>
      </c>
      <c r="B74" s="2"/>
      <c r="C74" s="64" t="s">
        <v>2</v>
      </c>
      <c r="D74" s="2"/>
      <c r="E74" s="64" t="s">
        <v>3</v>
      </c>
      <c r="F74" s="2"/>
      <c r="G74" s="64" t="s">
        <v>4</v>
      </c>
      <c r="H74" s="3"/>
      <c r="I74" s="64" t="s">
        <v>15</v>
      </c>
      <c r="J74" s="2"/>
      <c r="K74" s="64" t="s">
        <v>16</v>
      </c>
      <c r="L74" s="2"/>
      <c r="M74" s="64" t="s">
        <v>16</v>
      </c>
      <c r="N74" s="2"/>
      <c r="R74" s="2"/>
    </row>
    <row r="75" ht="15.75" customHeight="1">
      <c r="A75" s="67" t="s">
        <v>7</v>
      </c>
      <c r="B75" s="67" t="s">
        <v>8</v>
      </c>
      <c r="C75" s="67" t="s">
        <v>7</v>
      </c>
      <c r="D75" s="67" t="s">
        <v>8</v>
      </c>
      <c r="E75" s="67" t="s">
        <v>7</v>
      </c>
      <c r="F75" s="67" t="s">
        <v>8</v>
      </c>
      <c r="G75" s="67" t="s">
        <v>7</v>
      </c>
      <c r="H75" s="67" t="s">
        <v>8</v>
      </c>
      <c r="I75" s="67" t="s">
        <v>7</v>
      </c>
      <c r="J75" s="67" t="s">
        <v>8</v>
      </c>
      <c r="K75" s="67" t="s">
        <v>7</v>
      </c>
      <c r="L75" s="67" t="s">
        <v>8</v>
      </c>
      <c r="M75" s="67" t="s">
        <v>7</v>
      </c>
      <c r="N75" s="67" t="s">
        <v>8</v>
      </c>
      <c r="R75" s="2"/>
    </row>
    <row r="76" ht="15.75" customHeight="1">
      <c r="A76" s="71">
        <v>45722.0</v>
      </c>
      <c r="B76" s="72">
        <v>35630.21</v>
      </c>
      <c r="C76" s="71">
        <v>45737.0</v>
      </c>
      <c r="D76" s="72">
        <v>16300.1</v>
      </c>
      <c r="E76" s="71">
        <v>45737.0</v>
      </c>
      <c r="F76" s="72" t="s">
        <v>17</v>
      </c>
      <c r="G76" s="71"/>
      <c r="H76" s="72"/>
      <c r="I76" s="71"/>
      <c r="J76" s="80"/>
      <c r="K76" s="71">
        <v>45726.0</v>
      </c>
      <c r="L76" s="72">
        <v>40070.71</v>
      </c>
      <c r="M76" s="71">
        <v>45726.0</v>
      </c>
      <c r="N76" s="72">
        <v>14883.41</v>
      </c>
      <c r="R76" s="2"/>
    </row>
    <row r="77" ht="15.75" customHeight="1">
      <c r="A77" s="71">
        <v>45753.0</v>
      </c>
      <c r="B77" s="72">
        <v>35630.21</v>
      </c>
      <c r="C77" s="71">
        <v>45768.0</v>
      </c>
      <c r="D77" s="72">
        <v>16300.1</v>
      </c>
      <c r="E77" s="71">
        <v>45768.0</v>
      </c>
      <c r="F77" s="72" t="s">
        <v>18</v>
      </c>
      <c r="G77" s="71"/>
      <c r="H77" s="72"/>
      <c r="I77" s="71"/>
      <c r="J77" s="80"/>
      <c r="K77" s="71">
        <v>45757.0</v>
      </c>
      <c r="L77" s="72">
        <v>40070.71</v>
      </c>
      <c r="M77" s="71">
        <v>45757.0</v>
      </c>
      <c r="N77" s="72">
        <v>14883.41</v>
      </c>
      <c r="R77" s="2"/>
    </row>
    <row r="78" ht="15.75" customHeight="1">
      <c r="A78" s="71">
        <v>45783.0</v>
      </c>
      <c r="B78" s="72">
        <v>35630.21</v>
      </c>
      <c r="C78" s="71">
        <v>45798.0</v>
      </c>
      <c r="D78" s="72">
        <v>16300.1</v>
      </c>
      <c r="E78" s="71">
        <v>45798.0</v>
      </c>
      <c r="F78" s="72" t="s">
        <v>19</v>
      </c>
      <c r="G78" s="71"/>
      <c r="H78" s="72"/>
      <c r="I78" s="71"/>
      <c r="J78" s="80"/>
      <c r="K78" s="71">
        <v>45787.0</v>
      </c>
      <c r="L78" s="72">
        <v>40070.71</v>
      </c>
      <c r="M78" s="71">
        <v>45787.0</v>
      </c>
      <c r="N78" s="72">
        <v>14883.41</v>
      </c>
      <c r="R78" s="2"/>
    </row>
    <row r="79" ht="15.75" customHeight="1">
      <c r="A79" s="71">
        <v>45814.0</v>
      </c>
      <c r="B79" s="72">
        <v>35630.21</v>
      </c>
      <c r="C79" s="71">
        <v>45829.0</v>
      </c>
      <c r="D79" s="72">
        <v>16300.1</v>
      </c>
      <c r="E79" s="71">
        <v>45829.0</v>
      </c>
      <c r="F79" s="72" t="s">
        <v>20</v>
      </c>
      <c r="G79" s="71"/>
      <c r="H79" s="72"/>
      <c r="I79" s="71"/>
      <c r="J79" s="80"/>
      <c r="K79" s="71">
        <v>45818.0</v>
      </c>
      <c r="L79" s="72">
        <v>40070.71</v>
      </c>
      <c r="M79" s="71">
        <v>45818.0</v>
      </c>
      <c r="N79" s="72">
        <v>14883.41</v>
      </c>
      <c r="R79" s="2"/>
    </row>
    <row r="80" ht="15.75" customHeight="1">
      <c r="A80" s="71">
        <v>45844.0</v>
      </c>
      <c r="B80" s="72">
        <v>35630.21</v>
      </c>
      <c r="C80" s="71">
        <v>45859.0</v>
      </c>
      <c r="D80" s="72">
        <v>16300.1</v>
      </c>
      <c r="E80" s="71">
        <v>45859.0</v>
      </c>
      <c r="F80" s="72" t="s">
        <v>21</v>
      </c>
      <c r="G80" s="71"/>
      <c r="H80" s="72"/>
      <c r="I80" s="71"/>
      <c r="J80" s="80"/>
      <c r="K80" s="71">
        <v>45848.0</v>
      </c>
      <c r="L80" s="72">
        <v>40070.71</v>
      </c>
      <c r="M80" s="71">
        <v>45848.0</v>
      </c>
      <c r="N80" s="72">
        <v>14883.41</v>
      </c>
      <c r="R80" s="2"/>
    </row>
    <row r="81" ht="15.75" customHeight="1">
      <c r="A81" s="71">
        <v>45875.0</v>
      </c>
      <c r="B81" s="72">
        <v>35630.21</v>
      </c>
      <c r="C81" s="71">
        <v>45890.0</v>
      </c>
      <c r="D81" s="72">
        <v>16300.1</v>
      </c>
      <c r="E81" s="71">
        <v>45890.0</v>
      </c>
      <c r="F81" s="72" t="s">
        <v>22</v>
      </c>
      <c r="G81" s="71"/>
      <c r="H81" s="72"/>
      <c r="I81" s="71"/>
      <c r="J81" s="80"/>
      <c r="K81" s="71">
        <v>45879.0</v>
      </c>
      <c r="L81" s="72">
        <v>40070.71</v>
      </c>
      <c r="M81" s="71">
        <v>45879.0</v>
      </c>
      <c r="N81" s="72">
        <v>14883.41</v>
      </c>
      <c r="R81" s="2"/>
    </row>
    <row r="82" ht="15.75" customHeight="1">
      <c r="A82" s="71">
        <v>45906.0</v>
      </c>
      <c r="B82" s="72">
        <v>35630.21</v>
      </c>
      <c r="C82" s="71">
        <v>45921.0</v>
      </c>
      <c r="D82" s="72">
        <v>16300.1</v>
      </c>
      <c r="E82" s="71">
        <v>45921.0</v>
      </c>
      <c r="F82" s="72" t="s">
        <v>23</v>
      </c>
      <c r="G82" s="71"/>
      <c r="H82" s="72"/>
      <c r="I82" s="71">
        <v>45910.0</v>
      </c>
      <c r="J82" s="72">
        <v>-54999.68</v>
      </c>
      <c r="K82" s="71">
        <v>45910.0</v>
      </c>
      <c r="L82" s="72">
        <v>40070.71</v>
      </c>
      <c r="M82" s="71">
        <v>45910.0</v>
      </c>
      <c r="N82" s="72">
        <v>14883.41</v>
      </c>
      <c r="R82" s="2"/>
    </row>
    <row r="83" ht="15.75" customHeight="1">
      <c r="A83" s="71">
        <v>45936.0</v>
      </c>
      <c r="B83" s="72">
        <v>34172.03</v>
      </c>
      <c r="C83" s="71">
        <v>45951.0</v>
      </c>
      <c r="D83" s="72">
        <v>16300.1</v>
      </c>
      <c r="E83" s="71">
        <v>45951.0</v>
      </c>
      <c r="F83" s="72" t="s">
        <v>23</v>
      </c>
      <c r="G83" s="71"/>
      <c r="H83" s="72"/>
      <c r="I83" s="71">
        <v>45940.0</v>
      </c>
      <c r="J83" s="72">
        <v>54999.68</v>
      </c>
      <c r="K83" s="71">
        <v>45940.0</v>
      </c>
      <c r="L83" s="72">
        <v>40070.71</v>
      </c>
      <c r="M83" s="71">
        <v>45940.0</v>
      </c>
      <c r="N83" s="72">
        <v>14883.41</v>
      </c>
      <c r="O83" s="18">
        <f>SUM(N77,L77,J77,F77,D77,B77) - SUM(N77,L77,J77,F77,D77,B77)</f>
        <v>0</v>
      </c>
      <c r="R83" s="2"/>
    </row>
    <row r="84" ht="15.75" customHeight="1">
      <c r="A84" s="71">
        <v>45967.0</v>
      </c>
      <c r="B84" s="72">
        <v>33924.95</v>
      </c>
      <c r="C84" s="71">
        <v>45982.0</v>
      </c>
      <c r="D84" s="72">
        <v>16300.1</v>
      </c>
      <c r="E84" s="71">
        <v>45982.0</v>
      </c>
      <c r="F84" s="72" t="s">
        <v>24</v>
      </c>
      <c r="G84" s="71">
        <v>45967.0</v>
      </c>
      <c r="H84" s="72">
        <v>78760.0</v>
      </c>
      <c r="I84" s="71">
        <v>45971.0</v>
      </c>
      <c r="J84" s="72">
        <v>54999.68</v>
      </c>
      <c r="K84" s="71">
        <v>45971.0</v>
      </c>
      <c r="L84" s="72">
        <v>40070.71</v>
      </c>
      <c r="M84" s="71">
        <v>45971.0</v>
      </c>
      <c r="N84" s="72">
        <v>14883.41</v>
      </c>
      <c r="O84" s="18">
        <f t="shared" ref="O84:O88" si="5">SUM(N78,L78,J78,H78,F78,D78,B78) - SUM(N78,L78,J78,H78,F78,D78,B78)</f>
        <v>0</v>
      </c>
      <c r="R84" s="2"/>
    </row>
    <row r="85" ht="15.75" customHeight="1">
      <c r="A85" s="71">
        <v>45997.0</v>
      </c>
      <c r="B85" s="72">
        <v>33666.26</v>
      </c>
      <c r="C85" s="71">
        <v>46012.0</v>
      </c>
      <c r="D85" s="72">
        <v>15900.38</v>
      </c>
      <c r="E85" s="71">
        <v>46012.0</v>
      </c>
      <c r="F85" s="72">
        <v>19800.38</v>
      </c>
      <c r="G85" s="71">
        <v>45997.0</v>
      </c>
      <c r="H85" s="72">
        <v>78760.0</v>
      </c>
      <c r="I85" s="71"/>
      <c r="J85" s="80"/>
      <c r="K85" s="71">
        <v>46001.0</v>
      </c>
      <c r="L85" s="72">
        <v>40070.71</v>
      </c>
      <c r="M85" s="71">
        <v>46001.0</v>
      </c>
      <c r="N85" s="72">
        <v>14883.41</v>
      </c>
      <c r="O85" s="18">
        <f t="shared" si="5"/>
        <v>0</v>
      </c>
      <c r="R85" s="2"/>
    </row>
    <row r="86" ht="15.75" customHeight="1">
      <c r="A86" s="71">
        <v>46028.0</v>
      </c>
      <c r="B86" s="72">
        <v>33397.26</v>
      </c>
      <c r="C86" s="71">
        <v>46043.0</v>
      </c>
      <c r="D86" s="72">
        <v>15900.38</v>
      </c>
      <c r="E86" s="71">
        <v>46043.0</v>
      </c>
      <c r="F86" s="72">
        <v>19800.38</v>
      </c>
      <c r="G86" s="71">
        <v>46028.0</v>
      </c>
      <c r="H86" s="72">
        <v>78760.0</v>
      </c>
      <c r="I86" s="71"/>
      <c r="J86" s="80"/>
      <c r="K86" s="71">
        <v>46032.0</v>
      </c>
      <c r="L86" s="72">
        <v>40070.71</v>
      </c>
      <c r="M86" s="71">
        <v>46032.0</v>
      </c>
      <c r="N86" s="72">
        <v>14883.41</v>
      </c>
      <c r="O86" s="18">
        <f t="shared" si="5"/>
        <v>0</v>
      </c>
      <c r="R86" s="2"/>
    </row>
    <row r="87" ht="15.75" customHeight="1">
      <c r="A87" s="71">
        <v>46059.0</v>
      </c>
      <c r="B87" s="72">
        <v>33115.72</v>
      </c>
      <c r="C87" s="71">
        <v>46074.0</v>
      </c>
      <c r="D87" s="72">
        <v>15900.38</v>
      </c>
      <c r="E87" s="71">
        <v>46074.0</v>
      </c>
      <c r="F87" s="72">
        <v>19800.38</v>
      </c>
      <c r="G87" s="71">
        <v>46059.0</v>
      </c>
      <c r="H87" s="72">
        <v>78760.0</v>
      </c>
      <c r="I87" s="71"/>
      <c r="J87" s="80"/>
      <c r="K87" s="71">
        <v>46063.0</v>
      </c>
      <c r="L87" s="72">
        <v>40070.71</v>
      </c>
      <c r="M87" s="71">
        <v>46063.0</v>
      </c>
      <c r="N87" s="72">
        <v>14883.41</v>
      </c>
      <c r="O87" s="18">
        <f t="shared" si="5"/>
        <v>0</v>
      </c>
      <c r="R87" s="2"/>
    </row>
    <row r="88" ht="15.75" customHeight="1">
      <c r="A88" s="73"/>
      <c r="B88" s="85"/>
      <c r="C88" s="71">
        <v>46102.0</v>
      </c>
      <c r="D88" s="72">
        <v>15900.38</v>
      </c>
      <c r="E88" s="71">
        <v>46102.0</v>
      </c>
      <c r="F88" s="72">
        <v>19800.38</v>
      </c>
      <c r="G88" s="71">
        <v>46087.0</v>
      </c>
      <c r="H88" s="72">
        <v>78760.0</v>
      </c>
      <c r="I88" s="2"/>
      <c r="J88" s="2"/>
      <c r="K88" s="2"/>
      <c r="L88" s="2"/>
      <c r="M88" s="2"/>
      <c r="N88" s="2"/>
      <c r="O88" s="18">
        <f t="shared" si="5"/>
        <v>0</v>
      </c>
      <c r="R88" s="2"/>
    </row>
    <row r="89" ht="15.75" customHeight="1">
      <c r="A89" s="73"/>
      <c r="B89" s="85"/>
      <c r="C89" s="71">
        <v>46133.0</v>
      </c>
      <c r="D89" s="81">
        <v>15900.38</v>
      </c>
      <c r="E89" s="71">
        <v>46133.0</v>
      </c>
      <c r="F89" s="81">
        <v>19800.38</v>
      </c>
      <c r="G89" s="71">
        <v>46118.0</v>
      </c>
      <c r="H89" s="81">
        <v>78760.0</v>
      </c>
      <c r="I89" s="2"/>
      <c r="J89" s="2"/>
      <c r="K89" s="2"/>
      <c r="L89" s="2"/>
      <c r="M89" s="2"/>
      <c r="N89" s="2"/>
      <c r="O89" s="18">
        <f>SUM(N88,L88,J88,H88,F88,D88,B88)</f>
        <v>114460.76</v>
      </c>
      <c r="R89" s="2"/>
    </row>
    <row r="90" ht="15.75" customHeight="1">
      <c r="A90" s="73"/>
      <c r="B90" s="85"/>
      <c r="C90" s="71">
        <v>46163.0</v>
      </c>
      <c r="D90" s="81">
        <v>15900.38</v>
      </c>
      <c r="E90" s="71">
        <v>46163.0</v>
      </c>
      <c r="F90" s="81">
        <v>19800.38</v>
      </c>
      <c r="G90" s="71">
        <v>46148.0</v>
      </c>
      <c r="H90" s="81">
        <v>78760.0</v>
      </c>
      <c r="I90" s="2"/>
      <c r="J90" s="2"/>
      <c r="K90" s="2"/>
      <c r="L90" s="2"/>
      <c r="M90" s="2"/>
      <c r="N90" s="2"/>
      <c r="O90" s="18">
        <f>SUM(N88,L88,J88,H88,F88,D88,B88)</f>
        <v>114460.76</v>
      </c>
      <c r="R90" s="2"/>
    </row>
    <row r="91" ht="15.75" customHeight="1">
      <c r="A91" s="73"/>
      <c r="B91" s="85"/>
      <c r="C91" s="71">
        <v>46194.0</v>
      </c>
      <c r="D91" s="81">
        <v>15900.38</v>
      </c>
      <c r="E91" s="71">
        <v>46194.0</v>
      </c>
      <c r="F91" s="81">
        <v>19800.38</v>
      </c>
      <c r="G91" s="71">
        <v>46179.0</v>
      </c>
      <c r="H91" s="81">
        <v>78760.0</v>
      </c>
      <c r="I91" s="2"/>
      <c r="J91" s="2"/>
      <c r="K91" s="2"/>
      <c r="L91" s="2"/>
      <c r="M91" s="2"/>
      <c r="N91" s="2"/>
      <c r="O91" s="18">
        <f>SUM(N88,L88,J88,H88,F88,D88,B88)</f>
        <v>114460.76</v>
      </c>
      <c r="R91" s="2"/>
    </row>
    <row r="92" ht="15.75" customHeight="1">
      <c r="A92" s="73"/>
      <c r="B92" s="85"/>
      <c r="C92" s="71">
        <v>46224.0</v>
      </c>
      <c r="D92" s="81">
        <v>15900.38</v>
      </c>
      <c r="E92" s="71">
        <v>46224.0</v>
      </c>
      <c r="F92" s="81">
        <v>19800.38</v>
      </c>
      <c r="G92" s="71">
        <v>46209.0</v>
      </c>
      <c r="H92" s="81">
        <v>78760.0</v>
      </c>
      <c r="I92" s="2"/>
      <c r="J92" s="2"/>
      <c r="K92" s="2"/>
      <c r="L92" s="2"/>
      <c r="M92" s="2"/>
      <c r="N92" s="2"/>
      <c r="O92" s="18">
        <f>SUM(N88,L88,J88,H88,F88,D88,B88)</f>
        <v>114460.76</v>
      </c>
      <c r="R92" s="2"/>
    </row>
    <row r="93" ht="15.75" customHeight="1">
      <c r="A93" s="73"/>
      <c r="B93" s="85"/>
      <c r="C93" s="71">
        <v>46255.0</v>
      </c>
      <c r="D93" s="81">
        <v>15900.38</v>
      </c>
      <c r="E93" s="71">
        <v>46255.0</v>
      </c>
      <c r="F93" s="81">
        <v>19800.38</v>
      </c>
      <c r="G93" s="71">
        <v>46240.0</v>
      </c>
      <c r="H93" s="81">
        <v>78760.0</v>
      </c>
      <c r="I93" s="2"/>
      <c r="J93" s="2"/>
      <c r="K93" s="2"/>
      <c r="L93" s="2"/>
      <c r="M93" s="2"/>
      <c r="N93" s="2"/>
      <c r="O93" s="18">
        <f>SUM(N88,L88,J88,H88,F88,D88,B88)</f>
        <v>114460.76</v>
      </c>
      <c r="R93" s="2"/>
    </row>
    <row r="94" ht="15.75" customHeight="1">
      <c r="A94" s="73"/>
      <c r="B94" s="85"/>
      <c r="C94" s="71">
        <v>46286.0</v>
      </c>
      <c r="D94" s="81">
        <v>15900.38</v>
      </c>
      <c r="E94" s="71">
        <v>46286.0</v>
      </c>
      <c r="F94" s="81">
        <v>19800.38</v>
      </c>
      <c r="G94" s="71">
        <v>46271.0</v>
      </c>
      <c r="H94" s="81">
        <v>78760.0</v>
      </c>
      <c r="I94" s="2"/>
      <c r="J94" s="2"/>
      <c r="K94" s="2"/>
      <c r="L94" s="2"/>
      <c r="M94" s="2"/>
      <c r="N94" s="2"/>
      <c r="O94" s="60">
        <f t="shared" ref="O94:O109" si="6">SUM(N88,L88,J88,H88,F88,D88,B88)</f>
        <v>114460.76</v>
      </c>
      <c r="R94" s="2"/>
    </row>
    <row r="95" ht="15.75" customHeight="1">
      <c r="A95" s="73"/>
      <c r="B95" s="85"/>
      <c r="C95" s="71">
        <v>46316.0</v>
      </c>
      <c r="D95" s="81">
        <v>15900.38</v>
      </c>
      <c r="E95" s="71">
        <v>46316.0</v>
      </c>
      <c r="F95" s="81">
        <v>19800.38</v>
      </c>
      <c r="G95" s="71">
        <v>46301.0</v>
      </c>
      <c r="H95" s="81">
        <v>78760.0</v>
      </c>
      <c r="I95" s="2"/>
      <c r="J95" s="2"/>
      <c r="K95" s="2"/>
      <c r="L95" s="2"/>
      <c r="M95" s="2"/>
      <c r="N95" s="2"/>
      <c r="O95" s="60">
        <f t="shared" si="6"/>
        <v>114460.76</v>
      </c>
      <c r="R95" s="2"/>
    </row>
    <row r="96" ht="15.75" customHeight="1">
      <c r="A96" s="73"/>
      <c r="B96" s="85"/>
      <c r="C96" s="71">
        <v>46347.0</v>
      </c>
      <c r="D96" s="81">
        <v>15900.38</v>
      </c>
      <c r="E96" s="71">
        <v>46347.0</v>
      </c>
      <c r="F96" s="81">
        <v>18800.31</v>
      </c>
      <c r="G96" s="71">
        <v>46332.0</v>
      </c>
      <c r="H96" s="81">
        <v>78760.0</v>
      </c>
      <c r="I96" s="2"/>
      <c r="J96" s="2"/>
      <c r="K96" s="2"/>
      <c r="L96" s="2"/>
      <c r="M96" s="2"/>
      <c r="N96" s="2"/>
      <c r="O96" s="60">
        <f t="shared" si="6"/>
        <v>114460.76</v>
      </c>
      <c r="R96" s="2"/>
    </row>
    <row r="97" ht="15.75" customHeight="1">
      <c r="A97" s="73"/>
      <c r="B97" s="85"/>
      <c r="C97" s="71">
        <v>46377.0</v>
      </c>
      <c r="D97" s="81">
        <v>14900.28</v>
      </c>
      <c r="E97" s="71">
        <v>46377.0</v>
      </c>
      <c r="F97" s="81">
        <v>18800.31</v>
      </c>
      <c r="G97" s="71">
        <v>46362.0</v>
      </c>
      <c r="H97" s="81">
        <v>78760.0</v>
      </c>
      <c r="I97" s="2"/>
      <c r="J97" s="2"/>
      <c r="K97" s="2"/>
      <c r="L97" s="2"/>
      <c r="M97" s="2"/>
      <c r="N97" s="2"/>
      <c r="O97" s="60">
        <f t="shared" si="6"/>
        <v>114460.76</v>
      </c>
      <c r="R97" s="2"/>
    </row>
    <row r="98" ht="15.75" customHeight="1">
      <c r="A98" s="73"/>
      <c r="B98" s="85"/>
      <c r="C98" s="71">
        <v>46408.0</v>
      </c>
      <c r="D98" s="81">
        <v>14900.28</v>
      </c>
      <c r="E98" s="71">
        <v>46408.0</v>
      </c>
      <c r="F98" s="81">
        <v>18800.31</v>
      </c>
      <c r="G98" s="71">
        <v>46028.0</v>
      </c>
      <c r="H98" s="81">
        <v>78760.0</v>
      </c>
      <c r="I98" s="2"/>
      <c r="J98" s="2"/>
      <c r="K98" s="2"/>
      <c r="L98" s="2"/>
      <c r="M98" s="2"/>
      <c r="N98" s="2"/>
      <c r="O98" s="60">
        <f t="shared" si="6"/>
        <v>114460.76</v>
      </c>
      <c r="R98" s="2"/>
    </row>
    <row r="99" ht="15.75" customHeight="1">
      <c r="A99" s="73"/>
      <c r="B99" s="85"/>
      <c r="C99" s="71">
        <v>46439.0</v>
      </c>
      <c r="D99" s="81">
        <v>14900.28</v>
      </c>
      <c r="E99" s="71">
        <v>46439.0</v>
      </c>
      <c r="F99" s="81">
        <v>18800.31</v>
      </c>
      <c r="G99" s="71">
        <v>46059.0</v>
      </c>
      <c r="H99" s="81">
        <v>78760.0</v>
      </c>
      <c r="I99" s="2"/>
      <c r="J99" s="2"/>
      <c r="K99" s="2"/>
      <c r="L99" s="2"/>
      <c r="M99" s="2"/>
      <c r="N99" s="2"/>
      <c r="O99" s="60">
        <f t="shared" si="6"/>
        <v>114460.76</v>
      </c>
      <c r="R99" s="2"/>
    </row>
    <row r="100" ht="15.75" customHeight="1">
      <c r="A100" s="73"/>
      <c r="B100" s="85"/>
      <c r="C100" s="71">
        <v>46467.0</v>
      </c>
      <c r="D100" s="81">
        <v>14900.28</v>
      </c>
      <c r="E100" s="71">
        <v>46467.0</v>
      </c>
      <c r="F100" s="81">
        <v>18800.31</v>
      </c>
      <c r="G100" s="71">
        <v>46452.0</v>
      </c>
      <c r="H100" s="81">
        <v>78760.0</v>
      </c>
      <c r="I100" s="2"/>
      <c r="J100" s="2"/>
      <c r="K100" s="2"/>
      <c r="L100" s="2"/>
      <c r="M100" s="2"/>
      <c r="N100" s="2"/>
      <c r="O100" s="60">
        <f t="shared" si="6"/>
        <v>114460.76</v>
      </c>
      <c r="R100" s="2"/>
    </row>
    <row r="101" ht="15.75" customHeight="1">
      <c r="A101" s="73"/>
      <c r="B101" s="86"/>
      <c r="C101" s="71">
        <v>46498.0</v>
      </c>
      <c r="D101" s="81">
        <v>14900.28</v>
      </c>
      <c r="E101" s="71">
        <v>46498.0</v>
      </c>
      <c r="F101" s="81">
        <v>18800.31</v>
      </c>
      <c r="G101" s="71">
        <v>46483.0</v>
      </c>
      <c r="H101" s="81">
        <v>78760.0</v>
      </c>
      <c r="I101" s="2"/>
      <c r="J101" s="2"/>
      <c r="K101" s="2"/>
      <c r="L101" s="2"/>
      <c r="M101" s="2"/>
      <c r="N101" s="2"/>
      <c r="O101" s="60">
        <f t="shared" si="6"/>
        <v>114460.76</v>
      </c>
      <c r="R101" s="2"/>
    </row>
    <row r="102" ht="15.75" customHeight="1">
      <c r="A102" s="73"/>
      <c r="B102" s="86"/>
      <c r="C102" s="73"/>
      <c r="D102" s="73"/>
      <c r="E102" s="73"/>
      <c r="F102" s="73"/>
      <c r="G102" s="71">
        <v>46513.0</v>
      </c>
      <c r="H102" s="87">
        <v>78760.0</v>
      </c>
      <c r="I102" s="2"/>
      <c r="J102" s="2"/>
      <c r="K102" s="2"/>
      <c r="L102" s="2"/>
      <c r="M102" s="2"/>
      <c r="N102" s="2"/>
      <c r="O102" s="60">
        <f t="shared" si="6"/>
        <v>113460.69</v>
      </c>
      <c r="R102" s="2"/>
    </row>
    <row r="103" ht="15.75" customHeight="1">
      <c r="A103" s="73"/>
      <c r="B103" s="86"/>
      <c r="C103" s="73"/>
      <c r="D103" s="73"/>
      <c r="E103" s="73"/>
      <c r="F103" s="73"/>
      <c r="G103" s="71">
        <v>46544.0</v>
      </c>
      <c r="H103" s="87">
        <v>78760.0</v>
      </c>
      <c r="I103" s="2"/>
      <c r="J103" s="2"/>
      <c r="K103" s="2"/>
      <c r="L103" s="2"/>
      <c r="M103" s="2"/>
      <c r="N103" s="2"/>
      <c r="O103" s="60">
        <f t="shared" si="6"/>
        <v>112460.59</v>
      </c>
      <c r="R103" s="2"/>
    </row>
    <row r="104" ht="15.75" customHeight="1">
      <c r="A104" s="73"/>
      <c r="B104" s="73"/>
      <c r="C104" s="73"/>
      <c r="D104" s="73"/>
      <c r="E104" s="73"/>
      <c r="F104" s="73"/>
      <c r="G104" s="71">
        <v>46574.0</v>
      </c>
      <c r="H104" s="87">
        <v>78760.0</v>
      </c>
      <c r="I104" s="2"/>
      <c r="J104" s="2"/>
      <c r="K104" s="2"/>
      <c r="L104" s="2"/>
      <c r="M104" s="2"/>
      <c r="N104" s="2"/>
      <c r="O104" s="60">
        <f t="shared" si="6"/>
        <v>112460.59</v>
      </c>
      <c r="R104" s="2"/>
    </row>
    <row r="105" ht="15.75" customHeight="1">
      <c r="A105" s="73"/>
      <c r="B105" s="73"/>
      <c r="C105" s="73"/>
      <c r="D105" s="73"/>
      <c r="E105" s="73"/>
      <c r="F105" s="73"/>
      <c r="G105" s="71">
        <v>46605.0</v>
      </c>
      <c r="H105" s="87">
        <v>78760.0</v>
      </c>
      <c r="I105" s="2"/>
      <c r="J105" s="2"/>
      <c r="K105" s="2"/>
      <c r="L105" s="2"/>
      <c r="M105" s="2"/>
      <c r="N105" s="2"/>
      <c r="O105" s="60">
        <f t="shared" si="6"/>
        <v>112460.59</v>
      </c>
      <c r="R105" s="2"/>
    </row>
    <row r="106" ht="15.75" customHeight="1">
      <c r="A106" s="73"/>
      <c r="B106" s="73"/>
      <c r="C106" s="73"/>
      <c r="D106" s="73"/>
      <c r="E106" s="73"/>
      <c r="F106" s="73"/>
      <c r="G106" s="71">
        <v>46636.0</v>
      </c>
      <c r="H106" s="87">
        <v>78760.0</v>
      </c>
      <c r="I106" s="2"/>
      <c r="J106" s="2"/>
      <c r="K106" s="2"/>
      <c r="L106" s="2"/>
      <c r="M106" s="2"/>
      <c r="N106" s="2"/>
      <c r="O106" s="60">
        <f t="shared" si="6"/>
        <v>112460.59</v>
      </c>
      <c r="R106" s="2"/>
    </row>
    <row r="107" ht="15.75" customHeight="1">
      <c r="A107" s="73"/>
      <c r="B107" s="73"/>
      <c r="C107" s="73"/>
      <c r="D107" s="73"/>
      <c r="E107" s="73"/>
      <c r="F107" s="73"/>
      <c r="G107" s="71">
        <v>46666.0</v>
      </c>
      <c r="H107" s="87">
        <v>78760.0</v>
      </c>
      <c r="I107" s="2"/>
      <c r="J107" s="2"/>
      <c r="K107" s="2"/>
      <c r="L107" s="2"/>
      <c r="M107" s="2"/>
      <c r="N107" s="2"/>
      <c r="O107" s="60">
        <f t="shared" si="6"/>
        <v>112460.59</v>
      </c>
      <c r="R107" s="2"/>
    </row>
    <row r="108" ht="15.75" customHeight="1">
      <c r="A108" s="2"/>
      <c r="B108" s="2"/>
      <c r="C108" s="2"/>
      <c r="D108" s="2"/>
      <c r="E108" s="2"/>
      <c r="F108" s="2"/>
      <c r="G108" s="71">
        <v>46697.0</v>
      </c>
      <c r="H108" s="87">
        <v>78760.0</v>
      </c>
      <c r="I108" s="2"/>
      <c r="J108" s="2"/>
      <c r="K108" s="2"/>
      <c r="L108" s="2"/>
      <c r="M108" s="2"/>
      <c r="N108" s="2"/>
      <c r="O108" s="60">
        <f t="shared" si="6"/>
        <v>78760</v>
      </c>
      <c r="R108" s="2"/>
    </row>
    <row r="109" ht="15.75" customHeight="1">
      <c r="A109" s="2"/>
      <c r="B109" s="2"/>
      <c r="C109" s="2"/>
      <c r="D109" s="2"/>
      <c r="E109" s="2"/>
      <c r="F109" s="2"/>
      <c r="G109" s="71">
        <v>46727.0</v>
      </c>
      <c r="H109" s="87">
        <v>78760.0</v>
      </c>
      <c r="I109" s="2"/>
      <c r="J109" s="2"/>
      <c r="K109" s="2"/>
      <c r="L109" s="2"/>
      <c r="M109" s="2"/>
      <c r="N109" s="2"/>
      <c r="O109" s="60">
        <f t="shared" si="6"/>
        <v>78760</v>
      </c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R309" s="2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